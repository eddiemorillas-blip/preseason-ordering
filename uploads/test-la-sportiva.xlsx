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jburgart\Downloads\Pending and PS Reports 12.23.25\"/>
    </mc:Choice>
  </mc:AlternateContent>
  <xr:revisionPtr revIDLastSave="0" documentId="8_{088D8266-C4C7-43F2-B57C-ECC3646C0ECD}" xr6:coauthVersionLast="47" xr6:coauthVersionMax="47" xr10:uidLastSave="{00000000-0000-0000-0000-000000000000}"/>
  <bookViews>
    <workbookView xWindow="-108" yWindow="-108" windowWidth="23256" windowHeight="12456" firstSheet="1" activeTab="1" xr2:uid="{00000000-000D-0000-FFFF-FFFF00000000}"/>
  </bookViews>
  <sheets>
    <sheet name="SUMMARY PIVOT" sheetId="7" state="hidden" r:id="rId1"/>
    <sheet name="REVISE HERE" sheetId="1" r:id="rId2"/>
    <sheet name="CE" sheetId="5" state="hidden" r:id="rId3"/>
    <sheet name="DATA VALADIATION" sheetId="3" state="hidden" r:id="rId4"/>
  </sheets>
  <definedNames>
    <definedName name="_xlnm._FilterDatabase" localSheetId="1" hidden="1">'REVISE HERE'!$B$7:$AE$582</definedName>
    <definedName name="Slicer_Dealer_Purchase_Order">#N/A</definedName>
    <definedName name="Slicer_Item_Name">#N/A</definedName>
    <definedName name="Slicer_Ship_To_Location">#N/A</definedName>
  </definedNames>
  <calcPr calcId="191029"/>
  <pivotCaches>
    <pivotCache cacheId="1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5" l="1"/>
  <c r="B1" i="5"/>
  <c r="C1" i="5"/>
  <c r="D1" i="5"/>
  <c r="E1" i="5"/>
  <c r="F1" i="5"/>
  <c r="G1" i="5"/>
  <c r="H1" i="5"/>
  <c r="I1" i="5"/>
  <c r="J1" i="5"/>
  <c r="K1" i="5"/>
  <c r="L1" i="5"/>
  <c r="M1" i="5"/>
  <c r="N1" i="5"/>
  <c r="O1" i="5"/>
</calcChain>
</file>

<file path=xl/sharedStrings.xml><?xml version="1.0" encoding="utf-8"?>
<sst xmlns="http://schemas.openxmlformats.org/spreadsheetml/2006/main" count="2915" uniqueCount="477">
  <si>
    <t>Cancel Date</t>
  </si>
  <si>
    <t>Terms</t>
  </si>
  <si>
    <t>Color Name</t>
  </si>
  <si>
    <t>UPC Code</t>
  </si>
  <si>
    <t>Ordered</t>
  </si>
  <si>
    <t>Committed</t>
  </si>
  <si>
    <t>B/O</t>
  </si>
  <si>
    <t>Currency</t>
  </si>
  <si>
    <t>Revised Date</t>
  </si>
  <si>
    <t>(CE) Item List : Item</t>
  </si>
  <si>
    <t>(CE) Item List : Replace All</t>
  </si>
  <si>
    <t>(CE) Item List : Quantity</t>
  </si>
  <si>
    <t>(CE) Item List : Is Closed</t>
  </si>
  <si>
    <t>(CE) Line Item B/O ETA</t>
  </si>
  <si>
    <t>(CE) NEXT B/O ETA</t>
  </si>
  <si>
    <t>Grand Total</t>
  </si>
  <si>
    <t>Sum of Ordered</t>
  </si>
  <si>
    <t>Sum of Committed</t>
  </si>
  <si>
    <t>(Reserved)</t>
  </si>
  <si>
    <t>Internal Id</t>
  </si>
  <si>
    <t>Tran Id</t>
  </si>
  <si>
    <t>Entity</t>
  </si>
  <si>
    <t>Item List: Line</t>
  </si>
  <si>
    <t>Item List: Item</t>
  </si>
  <si>
    <t>Item List: Replace All</t>
  </si>
  <si>
    <t>Item List: Quantity</t>
  </si>
  <si>
    <t>Item List: Is Closed</t>
  </si>
  <si>
    <t>NEXT B/O ETA</t>
  </si>
  <si>
    <t>Ship as Requested</t>
  </si>
  <si>
    <t>Item List: Item Schedule Date 1</t>
  </si>
  <si>
    <t>SO Notes</t>
  </si>
  <si>
    <t>Sum of B/O</t>
  </si>
  <si>
    <t>Item Name</t>
  </si>
  <si>
    <t>Please mark items as SHIP / CANCEL below</t>
  </si>
  <si>
    <t xml:space="preserve">Dealer NuOrder Order #   </t>
  </si>
  <si>
    <t>Requested Ship Date</t>
  </si>
  <si>
    <t>Preseason Order</t>
  </si>
  <si>
    <t>VPN</t>
  </si>
  <si>
    <t>Estimited Time of Arival</t>
  </si>
  <si>
    <t>Order Total Comm. Amt.</t>
  </si>
  <si>
    <t>Pending Report</t>
  </si>
  <si>
    <t xml:space="preserve">Ship To Location   </t>
  </si>
  <si>
    <t>Revisions Received</t>
  </si>
  <si>
    <t>LA SPORTIVA PENDING REPORT OVERVIEW:</t>
  </si>
  <si>
    <t xml:space="preserve">Items listed in the "Committed" column are available to ship! </t>
  </si>
  <si>
    <t>Items listed in the "Back Ordered" column are not available to ship.</t>
  </si>
  <si>
    <t xml:space="preserve">Follow the instructions to the right to let us know if you would like items to be shipped/canceled. </t>
  </si>
  <si>
    <r>
      <t>Dealer Name</t>
    </r>
    <r>
      <rPr>
        <b/>
        <sz val="9"/>
        <color theme="0"/>
        <rFont val="Calibri"/>
        <family val="2"/>
        <scheme val="minor"/>
      </rPr>
      <t xml:space="preserve">                            </t>
    </r>
  </si>
  <si>
    <t>1) Select "Ship Product(s) ASAP" for committed items you approve to ship.</t>
  </si>
  <si>
    <t>2) Select "Cancel Product(s)" for committed/back ordered items that you no longer need.</t>
  </si>
  <si>
    <t>La Sportiva N.A., Inc. reserves the right to cancel discontinued/dropped products on order, if they are unavailable.</t>
  </si>
  <si>
    <t>(CE) Tran ID</t>
  </si>
  <si>
    <t>(CE) Entity</t>
  </si>
  <si>
    <t>(CE) Item List Line</t>
  </si>
  <si>
    <t>INSTRUCTIONS: Mark items as 'SHIP' or 'CANCEL' in Column T</t>
  </si>
  <si>
    <t>Ship Product(s) ASAP</t>
  </si>
  <si>
    <t>Keep Open - B/O</t>
  </si>
  <si>
    <t xml:space="preserve">Quantiy Adjustments (Enter New Quanity) </t>
  </si>
  <si>
    <t xml:space="preserve">Purchase Order # </t>
  </si>
  <si>
    <t>(CE) Intenral ID</t>
  </si>
  <si>
    <t>SO #</t>
  </si>
  <si>
    <t>Cancel Product(s)</t>
  </si>
  <si>
    <t>Ship on Requested Ship Date</t>
  </si>
  <si>
    <t>849811</t>
  </si>
  <si>
    <t>Front Climbing Club</t>
  </si>
  <si>
    <t>Salt Lake City</t>
  </si>
  <si>
    <t>210473992</t>
  </si>
  <si>
    <t>F25 LAS SLC JULY</t>
  </si>
  <si>
    <t>Yes</t>
  </si>
  <si>
    <t>6%60 / Net 61</t>
  </si>
  <si>
    <t>131.45</t>
  </si>
  <si>
    <t>USD</t>
  </si>
  <si>
    <t>40S-999100-39.5</t>
  </si>
  <si>
    <t>Ondra Comp</t>
  </si>
  <si>
    <t>Black/Yellow</t>
  </si>
  <si>
    <t>801216816368</t>
  </si>
  <si>
    <t xml:space="preserve"> </t>
  </si>
  <si>
    <t/>
  </si>
  <si>
    <t>40-0011105:SALT Front Climbing Club : Front Climbing Club</t>
  </si>
  <si>
    <t>40S : 40S-999100-39.5 Ondra Comp</t>
  </si>
  <si>
    <t>FALSE</t>
  </si>
  <si>
    <t>849816</t>
  </si>
  <si>
    <t>Millcreek</t>
  </si>
  <si>
    <t>210906546</t>
  </si>
  <si>
    <t>F25 LAS SOMA JULY</t>
  </si>
  <si>
    <t>120.45</t>
  </si>
  <si>
    <t>40N-004004-37</t>
  </si>
  <si>
    <t>Mandala</t>
  </si>
  <si>
    <t>Chalk</t>
  </si>
  <si>
    <t>801216781352</t>
  </si>
  <si>
    <t>40-0011105:MILL Front Climbing Club : Front Climbing Club</t>
  </si>
  <si>
    <t>40N : 40N-004004-37 Mandala</t>
  </si>
  <si>
    <t>867174</t>
  </si>
  <si>
    <t>246630210</t>
  </si>
  <si>
    <t>F25 LAS SLC OCT</t>
  </si>
  <si>
    <t>No</t>
  </si>
  <si>
    <t>246.40</t>
  </si>
  <si>
    <t>40S-999100-37.5</t>
  </si>
  <si>
    <t>801216816337</t>
  </si>
  <si>
    <t>40S : 40S-999100-37.5 Ondra Comp</t>
  </si>
  <si>
    <t>40S-999100-42</t>
  </si>
  <si>
    <t>801216816412</t>
  </si>
  <si>
    <t>40S : 40S-999100-42 Ondra Comp</t>
  </si>
  <si>
    <t>ZFCS012-E05B13-35</t>
  </si>
  <si>
    <t>Skwama Womens</t>
  </si>
  <si>
    <t>Apple Green/Cobalt Blue</t>
  </si>
  <si>
    <t>801216820136</t>
  </si>
  <si>
    <t>ZFCS012 : ZFCS012-E05B13-35 Skwama Womens</t>
  </si>
  <si>
    <t>867175</t>
  </si>
  <si>
    <t>Ogden</t>
  </si>
  <si>
    <t>247172637</t>
  </si>
  <si>
    <t>F25 LAS OGDEN OCT</t>
  </si>
  <si>
    <t>125.95</t>
  </si>
  <si>
    <t>40S-999100-40</t>
  </si>
  <si>
    <t>801216816375</t>
  </si>
  <si>
    <t>40-0011105:OGDE Front Climbing Club : Front Climbing Club</t>
  </si>
  <si>
    <t>40S : 40S-999100-40 Ondra Comp</t>
  </si>
  <si>
    <t>872168</t>
  </si>
  <si>
    <t>256810188</t>
  </si>
  <si>
    <t>F25 LAS SLC NOV</t>
  </si>
  <si>
    <t>2367.95</t>
  </si>
  <si>
    <t>40S-999100-38</t>
  </si>
  <si>
    <t>801216816344</t>
  </si>
  <si>
    <t>40S : 40S-999100-38 Ondra Comp</t>
  </si>
  <si>
    <t>872169</t>
  </si>
  <si>
    <t>257239193</t>
  </si>
  <si>
    <t>F25 LAS OGDEN NOV</t>
  </si>
  <si>
    <t>694.65</t>
  </si>
  <si>
    <t>40S-999100-40.5</t>
  </si>
  <si>
    <t>801216816382</t>
  </si>
  <si>
    <t>40S : 40S-999100-40.5 Ondra Comp</t>
  </si>
  <si>
    <t>ZFCS003-B00R04-45</t>
  </si>
  <si>
    <t>Otaki</t>
  </si>
  <si>
    <t>Blue/Flame</t>
  </si>
  <si>
    <t>801216819185</t>
  </si>
  <si>
    <t>ZFCS003 : ZFCS003-B00R04-45 Otaki</t>
  </si>
  <si>
    <t>872170</t>
  </si>
  <si>
    <t>257239643</t>
  </si>
  <si>
    <t>F25 LAS SOMA NOV</t>
  </si>
  <si>
    <t>804638</t>
  </si>
  <si>
    <t>182187213</t>
  </si>
  <si>
    <t>4202.35</t>
  </si>
  <si>
    <t>ZFCS166-W04W04-43.5</t>
  </si>
  <si>
    <t>Futura</t>
  </si>
  <si>
    <t>801216942241</t>
  </si>
  <si>
    <t>ZFCS166 : ZFCS166-W04W04-43.5 Futura</t>
  </si>
  <si>
    <t>804655</t>
  </si>
  <si>
    <t>182189183</t>
  </si>
  <si>
    <t>4716.05</t>
  </si>
  <si>
    <t>804676</t>
  </si>
  <si>
    <t>182190776</t>
  </si>
  <si>
    <t>879373</t>
  </si>
  <si>
    <t>265830310</t>
  </si>
  <si>
    <t>DecSLCAdditions DecSLCAdditions DecSLCA</t>
  </si>
  <si>
    <t>696.70</t>
  </si>
  <si>
    <t>ZFCS005-K00Y00-45.5</t>
  </si>
  <si>
    <t>Skwama</t>
  </si>
  <si>
    <t>801216819635</t>
  </si>
  <si>
    <t>ZFCS005 : ZFCS005-K00Y00-45.5 Skwama</t>
  </si>
  <si>
    <t>879374</t>
  </si>
  <si>
    <t>266188697</t>
  </si>
  <si>
    <t>DecOGDAdditions</t>
  </si>
  <si>
    <t>1692.30</t>
  </si>
  <si>
    <t>40S-999100-41.5</t>
  </si>
  <si>
    <t>801216816405</t>
  </si>
  <si>
    <t>40S : 40S-999100-41.5 Ondra Comp</t>
  </si>
  <si>
    <t>879376</t>
  </si>
  <si>
    <t>266189412</t>
  </si>
  <si>
    <t>DecSMAdditions</t>
  </si>
  <si>
    <t>Net 30</t>
  </si>
  <si>
    <t>2690.90</t>
  </si>
  <si>
    <t>40-0011105:MILL RENTAL Front Climbing Club : Front Climbing Club</t>
  </si>
  <si>
    <t>ZFCS003-B00R04-46</t>
  </si>
  <si>
    <t>801216819208</t>
  </si>
  <si>
    <t>ZFCS003 : ZFCS003-B00R04-46 Otaki</t>
  </si>
  <si>
    <t>ZFCS012-E05B13-35.5</t>
  </si>
  <si>
    <t>801216820143</t>
  </si>
  <si>
    <t>ZFCS012 : ZFCS012-E05B13-35.5 Skwama Womens</t>
  </si>
  <si>
    <t>850916</t>
  </si>
  <si>
    <t>212005206</t>
  </si>
  <si>
    <t>LaSportivaFWOgden0126</t>
  </si>
  <si>
    <t>8%60 / Net 61</t>
  </si>
  <si>
    <t>1701.70</t>
  </si>
  <si>
    <t>30X-813723-40.5</t>
  </si>
  <si>
    <t>Finale</t>
  </si>
  <si>
    <t>Aloe/Moss</t>
  </si>
  <si>
    <t>801216625526</t>
  </si>
  <si>
    <t>30X : 30X-813723-40.5 Finale</t>
  </si>
  <si>
    <t>30X-813723-42.5</t>
  </si>
  <si>
    <t>801216625564</t>
  </si>
  <si>
    <t>30X : 30X-813723-42.5 Finale</t>
  </si>
  <si>
    <t>30X-813723-43.5</t>
  </si>
  <si>
    <t>801216625588</t>
  </si>
  <si>
    <t>30X : 30X-813723-43.5 Finale</t>
  </si>
  <si>
    <t>30Y-909624-40</t>
  </si>
  <si>
    <t>Finale Womens</t>
  </si>
  <si>
    <t>Clay/Topaz</t>
  </si>
  <si>
    <t>801216625823</t>
  </si>
  <si>
    <t>30Y : 30Y-909624-40 Finale Womens</t>
  </si>
  <si>
    <t>40N-004004-40</t>
  </si>
  <si>
    <t>801216781406</t>
  </si>
  <si>
    <t>40N : 40N-004004-40 Mandala</t>
  </si>
  <si>
    <t>40P-004004-41</t>
  </si>
  <si>
    <t>Mantra</t>
  </si>
  <si>
    <t>801216781987</t>
  </si>
  <si>
    <t>40P : 40P-004004-41 Mantra</t>
  </si>
  <si>
    <t>40S-999100-39</t>
  </si>
  <si>
    <t>801216808196</t>
  </si>
  <si>
    <t>40S : 40S-999100-39 Ondra Comp</t>
  </si>
  <si>
    <t>ZFCS003-B00R04-39.5</t>
  </si>
  <si>
    <t>OTAKI</t>
  </si>
  <si>
    <t>801216819079</t>
  </si>
  <si>
    <t>ZFCS003 : ZFCS003-B00R04-39.5 Otaki</t>
  </si>
  <si>
    <t>ZFCS005-K00Y00-40</t>
  </si>
  <si>
    <t>801216819529</t>
  </si>
  <si>
    <t>ZFCS005 : ZFCS005-K00Y00-40 Skwama</t>
  </si>
  <si>
    <t>ZFCS013-W00Y00-42.5</t>
  </si>
  <si>
    <t>Solution</t>
  </si>
  <si>
    <t>White/Yellow</t>
  </si>
  <si>
    <t>801216820457</t>
  </si>
  <si>
    <t>ZFCS013 : ZFCS013-W00Y00-42.5 Solution</t>
  </si>
  <si>
    <t>ZFCS014-W00O03-37.5</t>
  </si>
  <si>
    <t>Solution Womens</t>
  </si>
  <si>
    <t>White/Lily Orange</t>
  </si>
  <si>
    <t>801216820624</t>
  </si>
  <si>
    <t>ZFCS014 : ZFCS014-W00O03-37.5 Solution Womens</t>
  </si>
  <si>
    <t>ZFCS019-P02B02-36</t>
  </si>
  <si>
    <t>SOLUTION COMP WOMENS</t>
  </si>
  <si>
    <t>Hibiscus/Malibu Blue</t>
  </si>
  <si>
    <t>801216821515</t>
  </si>
  <si>
    <t>ZFCS019 : ZFCS019-P02B02-36 Solution Comp Womens</t>
  </si>
  <si>
    <t>ZFCS024-E32R24-40.5</t>
  </si>
  <si>
    <t>Kubo</t>
  </si>
  <si>
    <t>Savana/Mountain Red</t>
  </si>
  <si>
    <t>801216867032</t>
  </si>
  <si>
    <t>ZFCS024 : ZFCS024-E32R24-40.5 Kubo</t>
  </si>
  <si>
    <t>ZFCS024-E32R24-43.5</t>
  </si>
  <si>
    <t>801216867094</t>
  </si>
  <si>
    <t>ZFCS024 : ZFCS024-E32R24-43.5 Kubo</t>
  </si>
  <si>
    <t>ZFCS025-U04P06-38.5</t>
  </si>
  <si>
    <t>Kubo Womens</t>
  </si>
  <si>
    <t>Royal/Love Potion</t>
  </si>
  <si>
    <t>801216822956</t>
  </si>
  <si>
    <t>ZFCS025 : ZFCS025-U04P06-38.5 Kubo Womens</t>
  </si>
  <si>
    <t>ZFCS026-E19E19-42</t>
  </si>
  <si>
    <t>TC Pro</t>
  </si>
  <si>
    <t>Olive</t>
  </si>
  <si>
    <t>801216823199</t>
  </si>
  <si>
    <t>ZFCS026 : ZFCS026-E19E19-42 TC Pro</t>
  </si>
  <si>
    <t>ZFCS029-Y00K00-41</t>
  </si>
  <si>
    <t>Katana Lace</t>
  </si>
  <si>
    <t>Yellow/Black</t>
  </si>
  <si>
    <t>801216823427</t>
  </si>
  <si>
    <t>ZFCS029 : ZFCS029-Y00K00-41 Katana Lace</t>
  </si>
  <si>
    <t>ZFCS030-W00K00-39.5</t>
  </si>
  <si>
    <t>Katana Lace Womens</t>
  </si>
  <si>
    <t>White/Black</t>
  </si>
  <si>
    <t>801216823663</t>
  </si>
  <si>
    <t>ZFCS030 : ZFCS030-W00K00-39.5 Katana Lace Womens</t>
  </si>
  <si>
    <t>850927</t>
  </si>
  <si>
    <t>212020990-1</t>
  </si>
  <si>
    <t>LaSportivaFWSLC0126</t>
  </si>
  <si>
    <t>2972.10</t>
  </si>
  <si>
    <t>30J-999311-40</t>
  </si>
  <si>
    <t>Tarantula</t>
  </si>
  <si>
    <t>Black/Poppy</t>
  </si>
  <si>
    <t>801216623454</t>
  </si>
  <si>
    <t>30J : 30J-999311-40 Tarantula</t>
  </si>
  <si>
    <t>30J-999311-43</t>
  </si>
  <si>
    <t>801216623515</t>
  </si>
  <si>
    <t>30J : 30J-999311-43 Tarantula</t>
  </si>
  <si>
    <t>30K-502502-36</t>
  </si>
  <si>
    <t>Tarantula Womens</t>
  </si>
  <si>
    <t>Red Plum</t>
  </si>
  <si>
    <t>801216623720</t>
  </si>
  <si>
    <t>30K : 30K-502502-36 Tarantula Womens</t>
  </si>
  <si>
    <t>30K-502502-39</t>
  </si>
  <si>
    <t>801216623782</t>
  </si>
  <si>
    <t>30K : 30K-502502-39 Tarantula Womens</t>
  </si>
  <si>
    <t>30X-813723-39</t>
  </si>
  <si>
    <t>801216625496</t>
  </si>
  <si>
    <t>30X : 30X-813723-39 Finale</t>
  </si>
  <si>
    <t>30X-813723-42</t>
  </si>
  <si>
    <t>801216625557</t>
  </si>
  <si>
    <t>30X : 30X-813723-42 Finale</t>
  </si>
  <si>
    <t>30X-813723-45</t>
  </si>
  <si>
    <t>801216625618</t>
  </si>
  <si>
    <t>30X : 30X-813723-45 Finale</t>
  </si>
  <si>
    <t>30Y-909624-38.5</t>
  </si>
  <si>
    <t>801216625793</t>
  </si>
  <si>
    <t>30Y : 30Y-909624-38.5 Finale Womens</t>
  </si>
  <si>
    <t>37B-900322-42</t>
  </si>
  <si>
    <t>TX4 EVO</t>
  </si>
  <si>
    <t>Carbon/Cherry Tomato</t>
  </si>
  <si>
    <t>801216778567</t>
  </si>
  <si>
    <t>37B : 37B-900322-42 TX4 EVO</t>
  </si>
  <si>
    <t>40P-004004-40</t>
  </si>
  <si>
    <t>801216781963</t>
  </si>
  <si>
    <t>40P : 40P-004004-40 Mantra</t>
  </si>
  <si>
    <t>ZFCS004-E02R01-37</t>
  </si>
  <si>
    <t>OTAKI WOMENS</t>
  </si>
  <si>
    <t>Sulphur/Coral</t>
  </si>
  <si>
    <t>801216819291</t>
  </si>
  <si>
    <t>ZFCS004 : ZFCS004-E02R01-37 Otaki Womens</t>
  </si>
  <si>
    <t>ZFCS005-K00Y00-39</t>
  </si>
  <si>
    <t>801216819505</t>
  </si>
  <si>
    <t>ZFCS005 : ZFCS005-K00Y00-39 Skwama</t>
  </si>
  <si>
    <t>ZFCS005-K00Y00-42</t>
  </si>
  <si>
    <t>801216819567</t>
  </si>
  <si>
    <t>ZFCS005 : ZFCS005-K00Y00-42 Skwama</t>
  </si>
  <si>
    <t>ZFCS012-E05B13-37.5</t>
  </si>
  <si>
    <t>801216820181</t>
  </si>
  <si>
    <t>ZFCS012 : ZFCS012-E05B13-37.5 Skwama Womens</t>
  </si>
  <si>
    <t>ZFCS013-W00Y00-40.5</t>
  </si>
  <si>
    <t>801216820419</t>
  </si>
  <si>
    <t>ZFCS013 : ZFCS013-W00Y00-40.5 Solution</t>
  </si>
  <si>
    <t>ZFCS013-W00Y00-43.5</t>
  </si>
  <si>
    <t>801216820471</t>
  </si>
  <si>
    <t>ZFCS013 : ZFCS013-W00Y00-43.5 Solution</t>
  </si>
  <si>
    <t>ZFCS014-W00O03-38</t>
  </si>
  <si>
    <t>801216820631</t>
  </si>
  <si>
    <t>ZFCS014 : ZFCS014-W00O03-38 Solution Womens</t>
  </si>
  <si>
    <t>ZFCS018-K00Y00-38.5</t>
  </si>
  <si>
    <t>Solution Comp</t>
  </si>
  <si>
    <t>801216821294</t>
  </si>
  <si>
    <t>ZFCS018 : ZFCS018-K00Y00-38.5 Solution Comp</t>
  </si>
  <si>
    <t>ZFCS018-K00Y00-41.5</t>
  </si>
  <si>
    <t>801216821355</t>
  </si>
  <si>
    <t>ZFCS018 : ZFCS018-K00Y00-41.5 Solution Comp</t>
  </si>
  <si>
    <t>ZFCS019-P02B02-38</t>
  </si>
  <si>
    <t>801216821553</t>
  </si>
  <si>
    <t>ZFCS019 : ZFCS019-P02B02-38 Solution Comp Womens</t>
  </si>
  <si>
    <t>ZFCS020-Y00K00-38</t>
  </si>
  <si>
    <t>THEORY</t>
  </si>
  <si>
    <t>801216815446</t>
  </si>
  <si>
    <t>ZFCS020 : ZFCS020-Y00K00-38 Theory</t>
  </si>
  <si>
    <t>ZFCS021-P02K00-36</t>
  </si>
  <si>
    <t>THEORY WOMENS</t>
  </si>
  <si>
    <t>Hibiscus/Black</t>
  </si>
  <si>
    <t>801216815668</t>
  </si>
  <si>
    <t>ZFCS021 : ZFCS021-P02K00-36 Theory Womens</t>
  </si>
  <si>
    <t>ZFCS021-P02K00-39</t>
  </si>
  <si>
    <t>801216815712</t>
  </si>
  <si>
    <t>ZFCS021 : ZFCS021-P02K00-39 Theory Womens</t>
  </si>
  <si>
    <t>ZFCS024-E32R24-40</t>
  </si>
  <si>
    <t>801216867025</t>
  </si>
  <si>
    <t>ZFCS024 : ZFCS024-E32R24-40 Kubo</t>
  </si>
  <si>
    <t>ZFCS024-E32R24-43</t>
  </si>
  <si>
    <t>801216867087</t>
  </si>
  <si>
    <t>ZFCS024 : ZFCS024-E32R24-43 Kubo</t>
  </si>
  <si>
    <t>ZFCS025-U04P06-36</t>
  </si>
  <si>
    <t>801216822901</t>
  </si>
  <si>
    <t>ZFCS025 : ZFCS025-U04P06-36 Kubo Womens</t>
  </si>
  <si>
    <t>ZFCS025-U04P06-39</t>
  </si>
  <si>
    <t>801216822963</t>
  </si>
  <si>
    <t>ZFCS025 : ZFCS025-U04P06-39 Kubo Womens</t>
  </si>
  <si>
    <t>ZFCS025-U04P06-42</t>
  </si>
  <si>
    <t>801216823021</t>
  </si>
  <si>
    <t>ZFCS025 : ZFCS025-U04P06-42 Kubo Womens</t>
  </si>
  <si>
    <t>ZFCS026-E19E19-41</t>
  </si>
  <si>
    <t>801216823175</t>
  </si>
  <si>
    <t>ZFCS026 : ZFCS026-E19E19-41 TC Pro</t>
  </si>
  <si>
    <t>ZFCS026-E19E19-44</t>
  </si>
  <si>
    <t>801216823236</t>
  </si>
  <si>
    <t>ZFCS026 : ZFCS026-E19E19-44 TC Pro</t>
  </si>
  <si>
    <t>ZFCS036-K00Y00-38.5</t>
  </si>
  <si>
    <t>Miura VS</t>
  </si>
  <si>
    <t>801216824943</t>
  </si>
  <si>
    <t>ZFCS036 : ZFCS036-K00Y00-38.5 Miura VS</t>
  </si>
  <si>
    <t>850938</t>
  </si>
  <si>
    <t>212023686-1</t>
  </si>
  <si>
    <t>LaSportivaFWSouthMain0126</t>
  </si>
  <si>
    <t>3202.00</t>
  </si>
  <si>
    <t>30J-999311-38.5</t>
  </si>
  <si>
    <t>801216623423</t>
  </si>
  <si>
    <t>30J : 30J-999311-38.5 Tarantula</t>
  </si>
  <si>
    <t>30J-999311-41.5</t>
  </si>
  <si>
    <t>801216623485</t>
  </si>
  <si>
    <t>30J : 30J-999311-41.5 Tarantula</t>
  </si>
  <si>
    <t>30J-999311-44.5</t>
  </si>
  <si>
    <t>801216623546</t>
  </si>
  <si>
    <t>30J : 30J-999311-44.5 Tarantula</t>
  </si>
  <si>
    <t>30K-502502-36.5</t>
  </si>
  <si>
    <t>801216623737</t>
  </si>
  <si>
    <t>30K : 30K-502502-36.5 Tarantula Womens</t>
  </si>
  <si>
    <t>30K-502502-39.5</t>
  </si>
  <si>
    <t>801216623799</t>
  </si>
  <si>
    <t>30K : 30K-502502-39.5 Tarantula Womens</t>
  </si>
  <si>
    <t>30K-502502-40.5</t>
  </si>
  <si>
    <t>801216623812</t>
  </si>
  <si>
    <t>30K : 30K-502502-40.5 Tarantula Womens</t>
  </si>
  <si>
    <t>30Y-909624-36.5</t>
  </si>
  <si>
    <t>801216625755</t>
  </si>
  <si>
    <t>30Y : 30Y-909624-36.5 Finale Womens</t>
  </si>
  <si>
    <t>30Y-909624-39.5</t>
  </si>
  <si>
    <t>801216625816</t>
  </si>
  <si>
    <t>30Y : 30Y-909624-39.5 Finale Womens</t>
  </si>
  <si>
    <t>37B-900322-45</t>
  </si>
  <si>
    <t>801216780522</t>
  </si>
  <si>
    <t>37B : 37B-900322-45 TX4 EVO</t>
  </si>
  <si>
    <t>40N-004004-40.5</t>
  </si>
  <si>
    <t>801216781413</t>
  </si>
  <si>
    <t>40N : 40N-004004-40.5 Mandala</t>
  </si>
  <si>
    <t>40P-004004-42</t>
  </si>
  <si>
    <t>801216782007</t>
  </si>
  <si>
    <t>40P : 40P-004004-42 Mantra</t>
  </si>
  <si>
    <t>40S-999100-38.5</t>
  </si>
  <si>
    <t>801216816351</t>
  </si>
  <si>
    <t>40S : 40S-999100-38.5 Ondra Comp</t>
  </si>
  <si>
    <t>ZFCS003-B00R04-38.5</t>
  </si>
  <si>
    <t>801216819055</t>
  </si>
  <si>
    <t>ZFCS003 : ZFCS003-B00R04-38.5 Otaki</t>
  </si>
  <si>
    <t>ZFCS004-E02R01-36.5</t>
  </si>
  <si>
    <t>801216819284</t>
  </si>
  <si>
    <t>ZFCS004 : ZFCS004-E02R01-36.5 Otaki Womens</t>
  </si>
  <si>
    <t>ZFCS004-E02R01-39.5</t>
  </si>
  <si>
    <t>801216819345</t>
  </si>
  <si>
    <t>ZFCS004 : ZFCS004-E02R01-39.5 Otaki Womens</t>
  </si>
  <si>
    <t>ZFCS005-K00Y00-38</t>
  </si>
  <si>
    <t>801216819482</t>
  </si>
  <si>
    <t>ZFCS005 : ZFCS005-K00Y00-38 Skwama</t>
  </si>
  <si>
    <t>ZFCS005-K00Y00-41</t>
  </si>
  <si>
    <t>801216819543</t>
  </si>
  <si>
    <t>ZFCS005 : ZFCS005-K00Y00-41 Skwama</t>
  </si>
  <si>
    <t>ZFCS005-K00Y00-44</t>
  </si>
  <si>
    <t>801216819604</t>
  </si>
  <si>
    <t>ZFCS005 : ZFCS005-K00Y00-44 Skwama</t>
  </si>
  <si>
    <t>ZFCS012-E05B13-38</t>
  </si>
  <si>
    <t>801216820198</t>
  </si>
  <si>
    <t>ZFCS012 : ZFCS012-E05B13-38 Skwama Womens</t>
  </si>
  <si>
    <t>ZFCS013-W00Y00-40</t>
  </si>
  <si>
    <t>801216820402</t>
  </si>
  <si>
    <t>ZFCS013 : ZFCS013-W00Y00-40 Solution</t>
  </si>
  <si>
    <t>ZFCS013-W00Y00-43</t>
  </si>
  <si>
    <t>801216820464</t>
  </si>
  <si>
    <t>ZFCS013 : ZFCS013-W00Y00-43 Solution</t>
  </si>
  <si>
    <t>ZFCS019-P02B02-37.5</t>
  </si>
  <si>
    <t>801216821546</t>
  </si>
  <si>
    <t>ZFCS019 : ZFCS019-P02B02-37.5 Solution Comp Womens</t>
  </si>
  <si>
    <t>ZFCS020-Y00K00-39</t>
  </si>
  <si>
    <t>801216808202</t>
  </si>
  <si>
    <t>ZFCS020 : ZFCS020-Y00K00-39 Theory</t>
  </si>
  <si>
    <t>ZFCS021-P02K00-38</t>
  </si>
  <si>
    <t>801216815699</t>
  </si>
  <si>
    <t>ZFCS021 : ZFCS021-P02K00-38 Theory Womens</t>
  </si>
  <si>
    <t>ZFCS024-E32R24-38.5</t>
  </si>
  <si>
    <t>801216867001</t>
  </si>
  <si>
    <t>ZFCS024 : ZFCS024-E32R24-38.5 Kubo</t>
  </si>
  <si>
    <t>ZFCS024-E32R24-41.5</t>
  </si>
  <si>
    <t>801216867056</t>
  </si>
  <si>
    <t>ZFCS024 : ZFCS024-E32R24-41.5 Kubo</t>
  </si>
  <si>
    <t>ZFCS024-E32R24-45</t>
  </si>
  <si>
    <t>801216867124</t>
  </si>
  <si>
    <t>ZFCS024 : ZFCS024-E32R24-45 Kubo</t>
  </si>
  <si>
    <t>ZFCS025-U04P06-37.5</t>
  </si>
  <si>
    <t>801216822932</t>
  </si>
  <si>
    <t>ZFCS025 : ZFCS025-U04P06-37.5 Kubo Womens</t>
  </si>
  <si>
    <t>ZFCS025-U04P06-40.5</t>
  </si>
  <si>
    <t>801216822994</t>
  </si>
  <si>
    <t>ZFCS025 : ZFCS025-U04P06-40.5 Kubo Womens</t>
  </si>
  <si>
    <t>ZFCS026-E19E19-40.5</t>
  </si>
  <si>
    <t>801216823168</t>
  </si>
  <si>
    <t>ZFCS026 : ZFCS026-E19E19-40.5 TC Pro</t>
  </si>
  <si>
    <t>ZFCS026-E19E19-43.5</t>
  </si>
  <si>
    <t>801216823229</t>
  </si>
  <si>
    <t>ZFCS026 : ZFCS026-E19E19-43.5 TC Pro</t>
  </si>
  <si>
    <t>ZFCS029-Y00K00-39</t>
  </si>
  <si>
    <t>801216823380</t>
  </si>
  <si>
    <t>ZFCS029 : ZFCS029-Y00K00-39 Katana Lace</t>
  </si>
  <si>
    <t>ZFCS030-W00K00-38.5</t>
  </si>
  <si>
    <t>801216823649</t>
  </si>
  <si>
    <t>ZFCS030 : ZFCS030-W00K00-38.5 Katana Lace Womens</t>
  </si>
  <si>
    <t>Early January</t>
  </si>
  <si>
    <t xml:space="preserve">Late January </t>
  </si>
  <si>
    <t xml:space="preserve">Mid February </t>
  </si>
  <si>
    <t>Late March</t>
  </si>
  <si>
    <t>Late February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</si>
</sst>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yyyy\-mm\-dd"/>
    <numFmt numFmtId="165" formatCode=";;;"/>
    <numFmt numFmtId="166" formatCode="[Color15]General"/>
  </numFmts>
  <fonts count="35" x14ac:knownFonts="1">
    <font>
      <sz val="8"/>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sz val="8"/>
      <name val="Calibri"/>
      <family val="2"/>
      <scheme val="minor"/>
    </font>
    <font>
      <b/>
      <sz val="8"/>
      <name val="Arial"/>
      <family val="2"/>
    </font>
    <font>
      <b/>
      <sz val="9"/>
      <name val="Calibri"/>
      <family val="2"/>
      <scheme val="minor"/>
    </font>
    <font>
      <sz val="8"/>
      <name val="Arial"/>
      <family val="2"/>
    </font>
    <font>
      <b/>
      <sz val="9"/>
      <color theme="1"/>
      <name val="Calibri"/>
      <family val="2"/>
      <scheme val="minor"/>
    </font>
    <font>
      <b/>
      <sz val="10"/>
      <color theme="1"/>
      <name val="Calibri"/>
      <family val="2"/>
      <scheme val="minor"/>
    </font>
    <font>
      <b/>
      <sz val="9"/>
      <color theme="0"/>
      <name val="Calibri"/>
      <family val="2"/>
      <scheme val="minor"/>
    </font>
    <font>
      <b/>
      <i/>
      <sz val="9"/>
      <color theme="1"/>
      <name val="Calibri"/>
      <family val="2"/>
      <scheme val="minor"/>
    </font>
    <font>
      <sz val="9"/>
      <name val="Calibri"/>
      <family val="2"/>
      <scheme val="minor"/>
    </font>
    <font>
      <b/>
      <sz val="11"/>
      <name val="Calibri"/>
      <family val="2"/>
      <scheme val="minor"/>
    </font>
    <font>
      <sz val="11"/>
      <name val="Calibri"/>
      <family val="2"/>
      <scheme val="minor"/>
    </font>
    <font>
      <sz val="8"/>
      <color rgb="FF000000"/>
      <name val="Arial"/>
      <family val="2"/>
    </font>
    <font>
      <b/>
      <sz val="16"/>
      <name val="Calibri"/>
      <family val="2"/>
      <scheme val="mino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rgb="FF00B0F0"/>
      </patternFill>
    </fill>
    <fill>
      <patternFill patternType="solid">
        <fgColor rgb="FFCCECFF"/>
        <bgColor rgb="FFB8CCE4"/>
      </patternFill>
    </fill>
    <fill>
      <patternFill patternType="solid">
        <fgColor rgb="FFFF7C80"/>
        <bgColor rgb="FFB8CCE4"/>
      </patternFill>
    </fill>
    <fill>
      <patternFill patternType="solid">
        <fgColor rgb="FF00CC99"/>
        <bgColor rgb="FFB8CCE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CCECFF"/>
        <bgColor indexed="64"/>
      </patternFill>
    </fill>
    <fill>
      <patternFill patternType="solid">
        <fgColor rgb="FF66CCFF"/>
        <bgColor indexed="64"/>
      </patternFill>
    </fill>
    <fill>
      <patternFill patternType="solid">
        <fgColor rgb="FF92D050"/>
        <bgColor rgb="FFB8CCE4"/>
      </patternFill>
    </fill>
    <fill>
      <patternFill patternType="solid">
        <fgColor theme="9"/>
        <bgColor indexed="64"/>
      </patternFill>
    </fill>
    <fill>
      <patternFill patternType="solid">
        <fgColor theme="7"/>
        <bgColor indexed="64"/>
      </patternFill>
    </fill>
    <fill>
      <patternFill patternType="solid">
        <fgColor rgb="FFFF0000"/>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01">
    <xf numFmtId="0" fontId="0" fillId="0" borderId="0"/>
    <xf numFmtId="0" fontId="5" fillId="0" borderId="0" applyNumberFormat="0" applyFill="0" applyBorder="0" applyAlignment="0" applyProtection="0"/>
    <xf numFmtId="0" fontId="6" fillId="0" borderId="1" applyNumberFormat="0" applyFill="0" applyAlignment="0" applyProtection="0"/>
    <xf numFmtId="0" fontId="7" fillId="0" borderId="2" applyNumberFormat="0" applyFill="0" applyAlignment="0" applyProtection="0"/>
    <xf numFmtId="0" fontId="8" fillId="0" borderId="3" applyNumberFormat="0" applyFill="0" applyAlignment="0" applyProtection="0"/>
    <xf numFmtId="0" fontId="8" fillId="0" borderId="0" applyNumberFormat="0" applyFill="0" applyBorder="0" applyAlignment="0" applyProtection="0"/>
    <xf numFmtId="0" fontId="9" fillId="2" borderId="0" applyNumberFormat="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4" applyNumberFormat="0" applyAlignment="0" applyProtection="0"/>
    <xf numFmtId="0" fontId="13" fillId="6" borderId="5" applyNumberFormat="0" applyAlignment="0" applyProtection="0"/>
    <xf numFmtId="0" fontId="14" fillId="6" borderId="4" applyNumberFormat="0" applyAlignment="0" applyProtection="0"/>
    <xf numFmtId="0" fontId="15" fillId="0" borderId="6" applyNumberFormat="0" applyFill="0" applyAlignment="0" applyProtection="0"/>
    <xf numFmtId="0" fontId="16" fillId="7" borderId="7" applyNumberFormat="0" applyAlignment="0" applyProtection="0"/>
    <xf numFmtId="0" fontId="17" fillId="0" borderId="0" applyNumberFormat="0" applyFill="0" applyBorder="0" applyAlignment="0" applyProtection="0"/>
    <xf numFmtId="0" fontId="4" fillId="8" borderId="8" applyNumberFormat="0" applyFont="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20"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20"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20"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20"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20"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44" fontId="25" fillId="0" borderId="0" applyFont="0" applyFill="0" applyBorder="0" applyAlignment="0" applyProtection="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8">
    <xf numFmtId="0" fontId="0" fillId="0" borderId="0" xfId="0"/>
    <xf numFmtId="0" fontId="0" fillId="0" borderId="0" xfId="0" applyAlignment="1">
      <alignment horizontal="left"/>
    </xf>
    <xf numFmtId="0" fontId="21" fillId="0" borderId="0" xfId="0" applyFont="1"/>
    <xf numFmtId="44" fontId="0" fillId="0" borderId="0" xfId="42" applyFont="1" applyFill="1"/>
    <xf numFmtId="0" fontId="0" fillId="0" borderId="0" xfId="0" pivotButton="1"/>
    <xf numFmtId="49" fontId="0" fillId="0" borderId="0" xfId="0" applyNumberFormat="1"/>
    <xf numFmtId="49" fontId="0" fillId="0" borderId="0" xfId="0" applyNumberFormat="1" applyAlignment="1">
      <alignment vertical="top" wrapText="1"/>
    </xf>
    <xf numFmtId="164" fontId="0" fillId="0" borderId="0" xfId="0" applyNumberFormat="1"/>
    <xf numFmtId="165" fontId="0" fillId="0" borderId="0" xfId="0" applyNumberFormat="1"/>
    <xf numFmtId="165" fontId="0" fillId="0" borderId="0" xfId="0" applyNumberFormat="1" applyAlignment="1">
      <alignment vertical="top" wrapText="1"/>
    </xf>
    <xf numFmtId="166" fontId="0" fillId="0" borderId="0" xfId="0" applyNumberFormat="1"/>
    <xf numFmtId="49" fontId="0" fillId="0" borderId="0" xfId="0" applyNumberFormat="1" applyAlignment="1">
      <alignment vertical="top"/>
    </xf>
    <xf numFmtId="49" fontId="33" fillId="0" borderId="0" xfId="0" applyNumberFormat="1" applyFont="1"/>
    <xf numFmtId="0" fontId="22" fillId="0" borderId="0" xfId="0" applyFont="1" applyAlignment="1">
      <alignment horizontal="left"/>
    </xf>
    <xf numFmtId="0" fontId="22" fillId="0" borderId="0" xfId="0" applyFont="1" applyAlignment="1">
      <alignment horizontal="center"/>
    </xf>
    <xf numFmtId="0" fontId="34" fillId="0" borderId="0" xfId="0" applyFont="1" applyAlignment="1">
      <alignment horizontal="left"/>
    </xf>
    <xf numFmtId="0" fontId="34" fillId="0" borderId="0" xfId="0" applyFont="1" applyAlignment="1">
      <alignment horizontal="center"/>
    </xf>
    <xf numFmtId="0" fontId="27" fillId="36" borderId="10" xfId="0" applyFont="1" applyFill="1" applyBorder="1" applyAlignment="1">
      <alignment horizontal="center" vertical="center" wrapText="1"/>
    </xf>
    <xf numFmtId="0" fontId="27" fillId="41" borderId="10" xfId="0" applyFont="1" applyFill="1" applyBorder="1" applyAlignment="1">
      <alignment horizontal="center" vertical="center" wrapText="1"/>
    </xf>
    <xf numFmtId="0" fontId="22" fillId="0" borderId="0" xfId="0" applyFont="1" applyProtection="1">
      <protection locked="0"/>
    </xf>
    <xf numFmtId="14" fontId="22" fillId="0" borderId="0" xfId="0" applyNumberFormat="1" applyFont="1" applyProtection="1">
      <protection locked="0"/>
    </xf>
    <xf numFmtId="0" fontId="22" fillId="0" borderId="0" xfId="0" applyFont="1" applyProtection="1">
      <protection locked="0" hidden="1"/>
    </xf>
    <xf numFmtId="0" fontId="34" fillId="0" borderId="0" xfId="0" applyFont="1" applyProtection="1">
      <protection locked="0" hidden="1"/>
    </xf>
    <xf numFmtId="0" fontId="34" fillId="0" borderId="0" xfId="0" applyFont="1" applyProtection="1">
      <protection locked="0"/>
    </xf>
    <xf numFmtId="0" fontId="27" fillId="34" borderId="11" xfId="0" applyFont="1" applyFill="1" applyBorder="1" applyAlignment="1" applyProtection="1">
      <alignment horizontal="center" vertical="center" wrapText="1"/>
      <protection locked="0"/>
    </xf>
    <xf numFmtId="14" fontId="27" fillId="34" borderId="10" xfId="0" applyNumberFormat="1" applyFont="1" applyFill="1" applyBorder="1" applyAlignment="1" applyProtection="1">
      <alignment horizontal="center" vertical="center" wrapText="1"/>
      <protection locked="0"/>
    </xf>
    <xf numFmtId="0" fontId="27" fillId="34" borderId="10" xfId="0" applyFont="1" applyFill="1" applyBorder="1" applyAlignment="1" applyProtection="1">
      <alignment horizontal="center" vertical="center" wrapText="1"/>
      <protection locked="0"/>
    </xf>
    <xf numFmtId="44" fontId="27" fillId="34" borderId="10" xfId="42" applyFont="1" applyFill="1" applyBorder="1" applyAlignment="1" applyProtection="1">
      <alignment horizontal="center" vertical="center" wrapText="1"/>
      <protection locked="0"/>
    </xf>
    <xf numFmtId="0" fontId="26" fillId="33" borderId="10" xfId="0" applyFont="1" applyFill="1" applyBorder="1" applyAlignment="1" applyProtection="1">
      <alignment horizontal="center" vertical="center" wrapText="1"/>
      <protection locked="0"/>
    </xf>
    <xf numFmtId="2" fontId="26" fillId="33" borderId="12" xfId="0" applyNumberFormat="1" applyFont="1" applyFill="1" applyBorder="1" applyAlignment="1" applyProtection="1">
      <alignment horizontal="center" vertical="center" wrapText="1"/>
      <protection locked="0"/>
    </xf>
    <xf numFmtId="0" fontId="24" fillId="37" borderId="13" xfId="0" applyFont="1" applyFill="1" applyBorder="1" applyAlignment="1" applyProtection="1">
      <alignment horizontal="center" vertical="center" wrapText="1"/>
      <protection locked="0"/>
    </xf>
    <xf numFmtId="0" fontId="27" fillId="35" borderId="10" xfId="0" applyFont="1" applyFill="1" applyBorder="1" applyAlignment="1" applyProtection="1">
      <alignment horizontal="center" vertical="center" wrapText="1"/>
      <protection locked="0"/>
    </xf>
    <xf numFmtId="0" fontId="30" fillId="0" borderId="0" xfId="0" applyFont="1" applyAlignment="1" applyProtection="1">
      <alignment vertical="center" wrapText="1"/>
      <protection locked="0"/>
    </xf>
    <xf numFmtId="0" fontId="21" fillId="0" borderId="0" xfId="0" applyFont="1" applyProtection="1">
      <protection locked="0"/>
    </xf>
    <xf numFmtId="0" fontId="21" fillId="0" borderId="0" xfId="0" applyFont="1" applyAlignment="1">
      <alignment horizontal="left"/>
    </xf>
    <xf numFmtId="0" fontId="23" fillId="0" borderId="0" xfId="0" applyFont="1"/>
    <xf numFmtId="0" fontId="32" fillId="39" borderId="0" xfId="0" applyFont="1" applyFill="1" applyProtection="1">
      <protection locked="0"/>
    </xf>
    <xf numFmtId="0" fontId="32" fillId="39" borderId="15" xfId="0" applyFont="1" applyFill="1" applyBorder="1" applyProtection="1">
      <protection locked="0"/>
    </xf>
    <xf numFmtId="0" fontId="32" fillId="39" borderId="18" xfId="0" applyFont="1" applyFill="1" applyBorder="1" applyProtection="1">
      <protection locked="0"/>
    </xf>
    <xf numFmtId="0" fontId="32" fillId="39" borderId="19" xfId="0" applyFont="1" applyFill="1" applyBorder="1" applyProtection="1">
      <protection locked="0"/>
    </xf>
    <xf numFmtId="0" fontId="31" fillId="39" borderId="0" xfId="0" applyFont="1" applyFill="1" applyProtection="1">
      <protection locked="0"/>
    </xf>
    <xf numFmtId="0" fontId="31" fillId="39" borderId="15" xfId="0" applyFont="1" applyFill="1" applyBorder="1" applyProtection="1">
      <protection locked="0"/>
    </xf>
    <xf numFmtId="14" fontId="31" fillId="39" borderId="0" xfId="0" applyNumberFormat="1" applyFont="1" applyFill="1" applyProtection="1">
      <protection locked="0"/>
    </xf>
    <xf numFmtId="14" fontId="32" fillId="39" borderId="0" xfId="0" applyNumberFormat="1" applyFont="1" applyFill="1" applyProtection="1">
      <protection locked="0"/>
    </xf>
    <xf numFmtId="14" fontId="32" fillId="39" borderId="18" xfId="0" applyNumberFormat="1" applyFont="1" applyFill="1" applyBorder="1" applyProtection="1">
      <protection locked="0"/>
    </xf>
    <xf numFmtId="2" fontId="22" fillId="0" borderId="0" xfId="0" applyNumberFormat="1" applyFont="1" applyProtection="1">
      <protection locked="0"/>
    </xf>
    <xf numFmtId="2" fontId="24" fillId="38" borderId="14" xfId="0" applyNumberFormat="1" applyFont="1" applyFill="1" applyBorder="1" applyAlignment="1" applyProtection="1">
      <alignment horizontal="center" vertical="center" wrapText="1"/>
      <protection locked="0"/>
    </xf>
    <xf numFmtId="14" fontId="21" fillId="0" borderId="0" xfId="0" applyNumberFormat="1" applyFont="1" applyProtection="1">
      <protection locked="0"/>
    </xf>
    <xf numFmtId="2" fontId="21" fillId="0" borderId="0" xfId="0" applyNumberFormat="1" applyFont="1" applyProtection="1">
      <protection locked="0"/>
    </xf>
    <xf numFmtId="0" fontId="21" fillId="0" borderId="0" xfId="0" applyFont="1" applyProtection="1">
      <protection locked="0" hidden="1"/>
    </xf>
    <xf numFmtId="0" fontId="21" fillId="0" borderId="0" xfId="0" applyFont="1" applyAlignment="1">
      <alignment horizontal="center"/>
    </xf>
    <xf numFmtId="14" fontId="21" fillId="0" borderId="0" xfId="0" applyNumberFormat="1" applyFont="1" applyAlignment="1">
      <alignment horizontal="left"/>
    </xf>
    <xf numFmtId="44" fontId="21" fillId="0" borderId="0" xfId="42" applyFont="1" applyProtection="1">
      <protection locked="0"/>
    </xf>
    <xf numFmtId="44" fontId="21" fillId="0" borderId="0" xfId="42" applyFont="1" applyAlignment="1" applyProtection="1">
      <alignment horizontal="center" vertical="center"/>
      <protection locked="0"/>
    </xf>
    <xf numFmtId="14" fontId="21" fillId="0" borderId="0" xfId="0" applyNumberFormat="1" applyFont="1" applyAlignment="1" applyProtection="1">
      <alignment horizontal="left"/>
      <protection locked="0"/>
    </xf>
    <xf numFmtId="2" fontId="22" fillId="0" borderId="0" xfId="0" applyNumberFormat="1" applyFont="1" applyAlignment="1" applyProtection="1">
      <alignment horizontal="left"/>
      <protection locked="0"/>
    </xf>
    <xf numFmtId="2" fontId="29" fillId="34" borderId="10" xfId="0" applyNumberFormat="1" applyFont="1" applyFill="1" applyBorder="1" applyAlignment="1" applyProtection="1">
      <alignment horizontal="center" vertical="center" wrapText="1"/>
      <protection locked="0"/>
    </xf>
    <xf numFmtId="2" fontId="21" fillId="0" borderId="0" xfId="0" applyNumberFormat="1" applyFont="1" applyAlignment="1" applyProtection="1">
      <alignment horizontal="left"/>
      <protection locked="0"/>
    </xf>
    <xf numFmtId="2" fontId="26" fillId="33" borderId="10" xfId="0" applyNumberFormat="1" applyFont="1" applyFill="1" applyBorder="1" applyAlignment="1" applyProtection="1">
      <alignment horizontal="center" vertical="center" wrapText="1"/>
      <protection locked="0"/>
    </xf>
    <xf numFmtId="0" fontId="23" fillId="42" borderId="0" xfId="0" applyFont="1" applyFill="1" applyAlignment="1">
      <alignment horizontal="center"/>
    </xf>
    <xf numFmtId="0" fontId="23" fillId="43" borderId="0" xfId="0" applyFont="1" applyFill="1" applyAlignment="1">
      <alignment horizontal="center"/>
    </xf>
    <xf numFmtId="0" fontId="23" fillId="44" borderId="0" xfId="0" applyFont="1" applyFill="1" applyAlignment="1">
      <alignment horizontal="center"/>
    </xf>
    <xf numFmtId="0" fontId="23" fillId="37" borderId="0" xfId="0" applyFont="1" applyFill="1" applyAlignment="1">
      <alignment horizontal="center"/>
    </xf>
    <xf numFmtId="14" fontId="34" fillId="0" borderId="0" xfId="0" applyNumberFormat="1" applyFont="1" applyAlignment="1" applyProtection="1">
      <alignment horizontal="center"/>
      <protection locked="0"/>
    </xf>
    <xf numFmtId="0" fontId="31" fillId="40" borderId="16" xfId="0" applyFont="1" applyFill="1" applyBorder="1" applyAlignment="1" applyProtection="1">
      <alignment horizontal="left"/>
      <protection locked="0"/>
    </xf>
    <xf numFmtId="0" fontId="31" fillId="40" borderId="0" xfId="0" applyFont="1" applyFill="1" applyAlignment="1" applyProtection="1">
      <alignment horizontal="left"/>
      <protection locked="0"/>
    </xf>
    <xf numFmtId="0" fontId="31" fillId="40" borderId="15" xfId="0" applyFont="1" applyFill="1" applyBorder="1" applyAlignment="1" applyProtection="1">
      <alignment horizontal="left"/>
      <protection locked="0"/>
    </xf>
    <xf numFmtId="0" fontId="32" fillId="40" borderId="16" xfId="0" applyFont="1" applyFill="1" applyBorder="1" applyAlignment="1" applyProtection="1">
      <alignment horizontal="left"/>
      <protection locked="0"/>
    </xf>
    <xf numFmtId="0" fontId="32" fillId="40" borderId="0" xfId="0" applyFont="1" applyFill="1" applyAlignment="1" applyProtection="1">
      <alignment horizontal="left"/>
      <protection locked="0"/>
    </xf>
    <xf numFmtId="0" fontId="32" fillId="40" borderId="15" xfId="0" applyFont="1" applyFill="1" applyBorder="1" applyAlignment="1" applyProtection="1">
      <alignment horizontal="left"/>
      <protection locked="0"/>
    </xf>
    <xf numFmtId="0" fontId="16" fillId="40" borderId="17" xfId="0" applyFont="1" applyFill="1" applyBorder="1" applyAlignment="1" applyProtection="1">
      <alignment horizontal="left"/>
      <protection locked="0"/>
    </xf>
    <xf numFmtId="0" fontId="16" fillId="40" borderId="18" xfId="0" applyFont="1" applyFill="1" applyBorder="1" applyAlignment="1" applyProtection="1">
      <alignment horizontal="left"/>
      <protection locked="0"/>
    </xf>
    <xf numFmtId="0" fontId="16" fillId="40" borderId="19" xfId="0" applyFont="1" applyFill="1" applyBorder="1" applyAlignment="1" applyProtection="1">
      <alignment horizontal="left"/>
      <protection locked="0"/>
    </xf>
    <xf numFmtId="0" fontId="34" fillId="0" borderId="0" xfId="0" applyFont="1" applyAlignment="1" applyProtection="1">
      <alignment horizontal="center"/>
      <protection locked="0"/>
    </xf>
    <xf numFmtId="0" fontId="21" fillId="39" borderId="0" xfId="81" applyFill="1"/>
    <xf numFmtId="14" fontId="21" fillId="39" borderId="0" xfId="81" applyNumberFormat="1" applyFill="1"/>
    <xf numFmtId="0" fontId="21" fillId="0" borderId="0" xfId="81"/>
    <xf numFmtId="14" fontId="21" fillId="0" borderId="0" xfId="81" applyNumberFormat="1"/>
  </cellXfs>
  <cellStyles count="101">
    <cellStyle name="20% - Accent1" xfId="19" builtinId="30" customBuiltin="1"/>
    <cellStyle name="20% - Accent1 2" xfId="44" xr:uid="{DB315B1B-C30A-4541-A435-A9FE2F4E3547}"/>
    <cellStyle name="20% - Accent1 3" xfId="63" xr:uid="{AC450020-A425-4084-9BF8-16D436120CAD}"/>
    <cellStyle name="20% - Accent1 4" xfId="83" xr:uid="{D9C5A48C-FFCC-47B6-A51C-28F6B638D5FD}"/>
    <cellStyle name="20% - Accent2" xfId="23" builtinId="34" customBuiltin="1"/>
    <cellStyle name="20% - Accent2 2" xfId="47" xr:uid="{47CBDE0F-50F8-4167-AD7C-F830889CF2F9}"/>
    <cellStyle name="20% - Accent2 3" xfId="66" xr:uid="{C0ACB708-6161-45E0-B9A2-D5D77012516C}"/>
    <cellStyle name="20% - Accent2 4" xfId="86" xr:uid="{0004FD2E-6F1E-4A65-B338-411D0E0FA6F1}"/>
    <cellStyle name="20% - Accent3" xfId="27" builtinId="38" customBuiltin="1"/>
    <cellStyle name="20% - Accent3 2" xfId="50" xr:uid="{C1B99D26-11A3-4F7C-AE5B-59EBA639F1B4}"/>
    <cellStyle name="20% - Accent3 3" xfId="69" xr:uid="{1370D42F-DDC9-4389-9379-D7CCF7CE9E24}"/>
    <cellStyle name="20% - Accent3 4" xfId="89" xr:uid="{21607F83-0C6C-4A4B-AA3E-4D70E47D1D58}"/>
    <cellStyle name="20% - Accent4" xfId="31" builtinId="42" customBuiltin="1"/>
    <cellStyle name="20% - Accent4 2" xfId="53" xr:uid="{DF5E1E8C-CEED-469C-8267-706CC027FEEF}"/>
    <cellStyle name="20% - Accent4 3" xfId="72" xr:uid="{99C5C4EF-39DB-45B5-88CE-80F44A7BBEA0}"/>
    <cellStyle name="20% - Accent4 4" xfId="92" xr:uid="{56AF450E-0AC3-4F39-BB51-097C62103BD2}"/>
    <cellStyle name="20% - Accent5" xfId="35" builtinId="46" customBuiltin="1"/>
    <cellStyle name="20% - Accent5 2" xfId="56" xr:uid="{E7A970A6-D0E7-4B55-A3EE-363348EDA856}"/>
    <cellStyle name="20% - Accent5 3" xfId="75" xr:uid="{4FFBE4CA-4A32-4302-9DBD-9B0BDA774311}"/>
    <cellStyle name="20% - Accent5 4" xfId="95" xr:uid="{4F4FCE75-4A29-4EDA-875C-702DA2B3F1A7}"/>
    <cellStyle name="20% - Accent6" xfId="39" builtinId="50" customBuiltin="1"/>
    <cellStyle name="20% - Accent6 2" xfId="59" xr:uid="{481B305A-29E5-4F9E-A4E5-04A77057389F}"/>
    <cellStyle name="20% - Accent6 3" xfId="78" xr:uid="{2E51EB17-B8B9-42F1-9425-BF212D7EC6C1}"/>
    <cellStyle name="20% - Accent6 4" xfId="98" xr:uid="{D70B7294-7609-4387-8E8F-7A4F5FB978D3}"/>
    <cellStyle name="40% - Accent1" xfId="20" builtinId="31" customBuiltin="1"/>
    <cellStyle name="40% - Accent1 2" xfId="45" xr:uid="{DC2ABC23-118B-4051-9DB3-40A3DBB4C570}"/>
    <cellStyle name="40% - Accent1 3" xfId="64" xr:uid="{BC65A029-DE8B-4C3F-B6B6-720DD8E66F23}"/>
    <cellStyle name="40% - Accent1 4" xfId="84" xr:uid="{3C1E5B37-3270-4CE6-842E-6EDD9F2E45D3}"/>
    <cellStyle name="40% - Accent2" xfId="24" builtinId="35" customBuiltin="1"/>
    <cellStyle name="40% - Accent2 2" xfId="48" xr:uid="{2BF75975-1295-43B5-BF6D-AD76EC5772EE}"/>
    <cellStyle name="40% - Accent2 3" xfId="67" xr:uid="{78363E2E-557E-4901-9533-92DEEEE2380D}"/>
    <cellStyle name="40% - Accent2 4" xfId="87" xr:uid="{8B8AF3EE-CF67-4E8C-B35C-33C1D929B5F2}"/>
    <cellStyle name="40% - Accent3" xfId="28" builtinId="39" customBuiltin="1"/>
    <cellStyle name="40% - Accent3 2" xfId="51" xr:uid="{6E8560B2-636D-4D8F-861A-A0F4EC603DD3}"/>
    <cellStyle name="40% - Accent3 3" xfId="70" xr:uid="{E7D4494B-F61C-41E0-B1E7-8323A11B3F46}"/>
    <cellStyle name="40% - Accent3 4" xfId="90" xr:uid="{83A8B881-ED42-4500-BA12-4A803D1A53D6}"/>
    <cellStyle name="40% - Accent4" xfId="32" builtinId="43" customBuiltin="1"/>
    <cellStyle name="40% - Accent4 2" xfId="54" xr:uid="{1412DB0D-244A-46E4-BAA5-1D86428BE950}"/>
    <cellStyle name="40% - Accent4 3" xfId="73" xr:uid="{F5192311-0720-4EEB-A937-DE8887329496}"/>
    <cellStyle name="40% - Accent4 4" xfId="93" xr:uid="{C014B385-409B-4778-B0D9-8C9119166309}"/>
    <cellStyle name="40% - Accent5" xfId="36" builtinId="47" customBuiltin="1"/>
    <cellStyle name="40% - Accent5 2" xfId="57" xr:uid="{D9B3DE13-1AFD-4D36-9141-29D28BB6986C}"/>
    <cellStyle name="40% - Accent5 3" xfId="76" xr:uid="{22D3F2D1-0793-4BEE-892B-F35CE78D2338}"/>
    <cellStyle name="40% - Accent5 4" xfId="96" xr:uid="{49C91CD7-3B29-44CB-B130-C37E1D8B4793}"/>
    <cellStyle name="40% - Accent6" xfId="40" builtinId="51" customBuiltin="1"/>
    <cellStyle name="40% - Accent6 2" xfId="60" xr:uid="{04727090-CDA5-4A71-9557-1C4A1466A4D9}"/>
    <cellStyle name="40% - Accent6 3" xfId="79" xr:uid="{63519D3D-FDD2-4FBC-AC99-551819FC9452}"/>
    <cellStyle name="40% - Accent6 4" xfId="99" xr:uid="{41671049-83EC-4FFA-9568-163B2A5702EC}"/>
    <cellStyle name="60% - Accent1" xfId="21" builtinId="32" customBuiltin="1"/>
    <cellStyle name="60% - Accent1 2" xfId="46" xr:uid="{C55151A5-6C76-46A6-B038-76E25435AC90}"/>
    <cellStyle name="60% - Accent1 3" xfId="65" xr:uid="{3C50A7CC-681B-41A9-9F7D-5843BB6CF30A}"/>
    <cellStyle name="60% - Accent1 4" xfId="85" xr:uid="{7E4029CB-CD82-4634-AF43-9D83622F0FD5}"/>
    <cellStyle name="60% - Accent2" xfId="25" builtinId="36" customBuiltin="1"/>
    <cellStyle name="60% - Accent2 2" xfId="49" xr:uid="{342FC558-0C33-42B1-A0A7-D0FFF7960563}"/>
    <cellStyle name="60% - Accent2 3" xfId="68" xr:uid="{60E20644-41D2-485E-8C82-5ECB8484D804}"/>
    <cellStyle name="60% - Accent2 4" xfId="88" xr:uid="{37220322-2CFE-4C10-875F-06B68B693221}"/>
    <cellStyle name="60% - Accent3" xfId="29" builtinId="40" customBuiltin="1"/>
    <cellStyle name="60% - Accent3 2" xfId="52" xr:uid="{87D491F0-B144-44AA-B21A-98DC7B31019C}"/>
    <cellStyle name="60% - Accent3 3" xfId="71" xr:uid="{62A5DEF7-A20B-46BA-A4A2-3DEB0821F68A}"/>
    <cellStyle name="60% - Accent3 4" xfId="91" xr:uid="{88DD829B-F2CC-4C0B-AC3B-3B3E64ED9959}"/>
    <cellStyle name="60% - Accent4" xfId="33" builtinId="44" customBuiltin="1"/>
    <cellStyle name="60% - Accent4 2" xfId="55" xr:uid="{BAD2F532-BCD6-4E8A-AF39-895AFA03E8AA}"/>
    <cellStyle name="60% - Accent4 3" xfId="74" xr:uid="{A1907165-E7A8-47BD-BC3B-C61A761B1F8D}"/>
    <cellStyle name="60% - Accent4 4" xfId="94" xr:uid="{3378DA17-58DF-4179-ACE5-8490BF9F8883}"/>
    <cellStyle name="60% - Accent5" xfId="37" builtinId="48" customBuiltin="1"/>
    <cellStyle name="60% - Accent5 2" xfId="58" xr:uid="{CE02E543-8748-4FC2-A2F6-770D9816FA8A}"/>
    <cellStyle name="60% - Accent5 3" xfId="77" xr:uid="{E5D69039-CA1A-4F01-9935-985D198CC299}"/>
    <cellStyle name="60% - Accent5 4" xfId="97" xr:uid="{2B71D654-944C-4122-AC13-483B945EFDA9}"/>
    <cellStyle name="60% - Accent6" xfId="41" builtinId="52" customBuiltin="1"/>
    <cellStyle name="60% - Accent6 2" xfId="61" xr:uid="{D84FCCA5-85AE-405A-ADEA-84BA9C748A5E}"/>
    <cellStyle name="60% - Accent6 3" xfId="80" xr:uid="{AF1BF753-1A8D-47E7-AE6E-6991A3D61F24}"/>
    <cellStyle name="60% - Accent6 4" xfId="100" xr:uid="{B5C32A27-D669-4AFA-A446-3F32861B6316}"/>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rmal 2" xfId="81" xr:uid="{A35ADEF4-7242-4B7F-AD64-860BEA9323FB}"/>
    <cellStyle name="Note" xfId="15" builtinId="10" customBuiltin="1"/>
    <cellStyle name="Note 2" xfId="43" xr:uid="{EB243F1E-FBD5-4964-81FB-344DD20E0E67}"/>
    <cellStyle name="Note 3" xfId="62" xr:uid="{CF879D6B-05D1-4BA7-9575-798EE0D56029}"/>
    <cellStyle name="Note 4" xfId="82" xr:uid="{24399EA0-C847-489A-A065-8049561CFA65}"/>
    <cellStyle name="Output" xfId="10" builtinId="21" customBuiltin="1"/>
    <cellStyle name="Title" xfId="1" builtinId="15" customBuiltin="1"/>
    <cellStyle name="Total" xfId="17" builtinId="25" customBuiltin="1"/>
    <cellStyle name="Warning Text" xfId="14" builtinId="11" customBuiltin="1"/>
  </cellStyles>
  <dxfs count="52">
    <dxf>
      <font>
        <b/>
        <i val="0"/>
      </font>
      <fill>
        <patternFill>
          <bgColor rgb="FFFF0000"/>
        </patternFill>
      </fill>
    </dxf>
    <dxf>
      <font>
        <b/>
        <i val="0"/>
      </font>
      <fill>
        <patternFill>
          <bgColor theme="9" tint="0.39994506668294322"/>
        </patternFill>
      </fill>
    </dxf>
    <dxf>
      <font>
        <b/>
        <i val="0"/>
      </font>
      <fill>
        <patternFill>
          <bgColor theme="7" tint="0.59996337778862885"/>
        </patternFill>
      </fill>
    </dxf>
    <dxf>
      <font>
        <b/>
        <i val="0"/>
      </font>
      <fill>
        <patternFill>
          <bgColor rgb="FF92D050"/>
        </patternFill>
      </fill>
    </dxf>
    <dxf>
      <fill>
        <patternFill>
          <bgColor rgb="FFFF7C80"/>
        </patternFill>
      </fill>
    </dxf>
    <dxf>
      <font>
        <color rgb="FF9C5700"/>
      </font>
      <fill>
        <patternFill>
          <bgColor rgb="FFFFEB9C"/>
        </patternFill>
      </fill>
    </dxf>
    <dxf>
      <font>
        <color rgb="FF9C5700"/>
      </font>
      <fill>
        <patternFill>
          <bgColor rgb="FFFFEB9C"/>
        </patternFill>
      </fill>
    </dxf>
    <dxf>
      <font>
        <b/>
        <i val="0"/>
      </font>
      <fill>
        <patternFill>
          <bgColor theme="7" tint="0.39994506668294322"/>
        </patternFill>
      </fill>
    </dxf>
    <dxf>
      <fill>
        <patternFill>
          <bgColor theme="7" tint="0.5999633777886288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font>
      <fill>
        <patternFill>
          <bgColor theme="9" tint="0.59996337778862885"/>
        </patternFill>
      </fill>
    </dxf>
    <dxf>
      <fill>
        <patternFill>
          <bgColor rgb="FFCCCCFF"/>
        </patternFill>
      </fill>
    </dxf>
    <dxf>
      <fill>
        <patternFill>
          <bgColor rgb="FFFFFF00"/>
        </patternFill>
      </fill>
    </dxf>
    <dxf>
      <fill>
        <patternFill>
          <bgColor theme="7" tint="0.59996337778862885"/>
        </patternFill>
      </fill>
    </dxf>
    <dxf>
      <fill>
        <patternFill>
          <bgColor theme="9"/>
        </patternFill>
      </fill>
    </dxf>
    <dxf>
      <fill>
        <patternFill>
          <bgColor theme="9" tint="0.59996337778862885"/>
        </patternFill>
      </fill>
    </dxf>
    <dxf>
      <numFmt numFmtId="30" formatCode="@"/>
      <fill>
        <patternFill patternType="none">
          <fgColor indexed="64"/>
          <bgColor auto="1"/>
        </patternFill>
      </fill>
    </dxf>
    <dxf>
      <fill>
        <patternFill patternType="none">
          <fgColor indexed="64"/>
          <bgColor auto="1"/>
        </patternFill>
      </fill>
    </dxf>
    <dxf>
      <numFmt numFmtId="164" formatCode="yyyy\-mm\-dd"/>
      <fill>
        <patternFill patternType="none">
          <fgColor indexed="64"/>
          <bgColor auto="1"/>
        </patternFill>
      </fill>
    </dxf>
    <dxf>
      <numFmt numFmtId="164" formatCode="yyyy\-mm\-dd"/>
      <fill>
        <patternFill patternType="none">
          <fgColor indexed="64"/>
          <bgColor auto="1"/>
        </patternFill>
      </fill>
    </dxf>
    <dxf>
      <numFmt numFmtId="164" formatCode="yyyy\-mm\-dd"/>
      <fill>
        <patternFill patternType="none">
          <fgColor indexed="64"/>
          <bgColor auto="1"/>
        </patternFill>
      </fill>
    </dxf>
    <dxf>
      <numFmt numFmtId="164" formatCode="yyyy\-mm\-dd"/>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30" formatCode="@"/>
      <fill>
        <patternFill patternType="none">
          <fgColor indexed="64"/>
          <bgColor auto="1"/>
        </patternFill>
      </fill>
    </dxf>
    <dxf>
      <fill>
        <patternFill patternType="none">
          <fgColor indexed="64"/>
          <bgColor auto="1"/>
        </patternFill>
      </fill>
    </dxf>
    <dxf>
      <numFmt numFmtId="30" formatCode="@"/>
      <fill>
        <patternFill patternType="none">
          <fgColor indexed="64"/>
          <bgColor auto="1"/>
        </patternFill>
      </fill>
      <alignment horizontal="general" vertical="top" textRotation="0" wrapText="1" indent="0" justifyLastLine="0" shrinkToFit="0" readingOrder="0"/>
    </dxf>
    <dxf>
      <numFmt numFmtId="30" formatCode="@"/>
      <fill>
        <patternFill patternType="none">
          <fgColor indexed="64"/>
          <bgColor auto="1"/>
        </patternFill>
      </fill>
    </dxf>
    <dxf>
      <font>
        <color rgb="FF000000"/>
      </font>
      <numFmt numFmtId="30" formatCode="@"/>
      <fill>
        <patternFill patternType="none">
          <fgColor indexed="64"/>
          <bgColor auto="1"/>
        </patternFill>
      </fill>
      <alignment wrapText="0"/>
    </dxf>
    <dxf>
      <fill>
        <patternFill patternType="none">
          <fgColor indexed="64"/>
          <bgColor auto="1"/>
        </patternFill>
      </fill>
      <alignment wrapText="0"/>
    </dxf>
    <dxf>
      <fill>
        <patternFill patternType="none">
          <fgColor indexed="64"/>
          <bgColor auto="1"/>
        </patternFill>
      </fill>
    </dxf>
    <dxf>
      <numFmt numFmtId="164" formatCode="yyyy\-mm\-dd"/>
      <fill>
        <patternFill patternType="none">
          <fgColor indexed="64"/>
          <bgColor indexed="65"/>
        </patternFill>
      </fill>
      <alignment horizontal="general" vertical="bottom" textRotation="0" wrapText="0" indent="0" justifyLastLine="0" shrinkToFit="0" readingOrder="0"/>
    </dxf>
    <dxf>
      <font>
        <b/>
      </font>
    </dxf>
    <dxf>
      <border>
        <top style="thin">
          <color theme="4" tint="0.79998168889431442"/>
        </top>
        <bottom style="thin">
          <color theme="4" tint="0.79998168889431442"/>
        </bottom>
      </border>
    </dxf>
    <dxf>
      <border>
        <top style="thin">
          <color theme="4" tint="0.79998168889431442"/>
        </top>
        <bottom style="thin">
          <color theme="4" tint="0.79998168889431442"/>
        </bottom>
      </border>
    </dxf>
    <dxf>
      <fill>
        <patternFill>
          <bgColor theme="8" tint="0.59996337778862885"/>
        </patternFill>
      </fill>
    </dxf>
    <dxf>
      <font>
        <color auto="1"/>
      </font>
      <fill>
        <patternFill patternType="solid">
          <fgColor theme="4" tint="0.79995117038483843"/>
          <bgColor theme="8" tint="0.79998168889431442"/>
        </patternFill>
      </fill>
      <border>
        <bottom style="thin">
          <color theme="4"/>
        </bottom>
      </border>
    </dxf>
    <dxf>
      <font>
        <color auto="1"/>
      </font>
      <fill>
        <patternFill patternType="solid">
          <fgColor theme="4" tint="0.39994506668294322"/>
          <bgColor theme="8" tint="0.39994506668294322"/>
        </patternFill>
      </fill>
      <border>
        <bottom style="thin">
          <color theme="4" tint="0.79998168889431442"/>
        </bottom>
        <horizontal style="thin">
          <color theme="4" tint="0.39997558519241921"/>
        </horizontal>
      </border>
    </dxf>
    <dxf>
      <border>
        <bottom style="thin">
          <color theme="4" tint="0.59999389629810485"/>
        </bottom>
      </border>
    </dxf>
    <dxf>
      <fill>
        <patternFill>
          <bgColor rgb="FFFFC000"/>
        </patternFill>
      </fill>
    </dxf>
    <dxf>
      <font>
        <b/>
        <color theme="1"/>
      </font>
      <fill>
        <patternFill patternType="solid">
          <fgColor theme="0" tint="-0.14999847407452621"/>
          <bgColor theme="0" tint="-0.14999847407452621"/>
        </patternFill>
      </fill>
    </dxf>
    <dxf>
      <font>
        <b/>
        <color theme="0"/>
      </font>
      <fill>
        <patternFill patternType="solid">
          <fgColor theme="4" tint="0.39997558519241921"/>
          <bgColor theme="4" tint="0.39997558519241921"/>
        </patternFill>
      </fill>
    </dxf>
    <dxf>
      <fill>
        <patternFill>
          <bgColor theme="5" tint="0.39994506668294322"/>
        </patternFill>
      </fill>
    </dxf>
    <dxf>
      <font>
        <b/>
        <color theme="0"/>
      </font>
    </dxf>
    <dxf>
      <border>
        <left style="thin">
          <color theme="4" tint="-0.249977111117893"/>
        </left>
        <right style="thin">
          <color theme="4" tint="-0.249977111117893"/>
        </right>
      </border>
    </dxf>
    <dxf>
      <border>
        <top style="thin">
          <color theme="4" tint="-0.249977111117893"/>
        </top>
        <bottom style="thin">
          <color theme="4" tint="-0.249977111117893"/>
        </bottom>
        <horizontal style="thin">
          <color theme="4" tint="-0.249977111117893"/>
        </horizontal>
      </border>
    </dxf>
    <dxf>
      <font>
        <b/>
        <color theme="1"/>
      </font>
      <border>
        <top style="double">
          <color theme="4" tint="-0.249977111117893"/>
        </top>
      </border>
    </dxf>
    <dxf>
      <font>
        <color theme="0"/>
      </font>
      <fill>
        <patternFill patternType="solid">
          <fgColor theme="4" tint="-0.249977111117893"/>
          <bgColor theme="8" tint="-0.24994659260841701"/>
        </patternFill>
      </fill>
      <border>
        <horizontal style="thin">
          <color theme="4" tint="-0.249977111117893"/>
        </horizontal>
      </border>
    </dxf>
    <dxf>
      <font>
        <color theme="1"/>
      </font>
      <border>
        <horizontal style="thin">
          <color theme="4" tint="0.79998168889431442"/>
        </horizontal>
      </border>
    </dxf>
  </dxfs>
  <tableStyles count="1" defaultTableStyle="TableStyleMedium2" defaultPivotStyle="PivotStyleLight16">
    <tableStyle name="PivotStyleMedium2 2" table="0" count="16" xr9:uid="{38E4A5A7-547F-4D0F-8894-5871AF3AA28C}">
      <tableStyleElement type="wholeTable" dxfId="51"/>
      <tableStyleElement type="headerRow" dxfId="50"/>
      <tableStyleElement type="totalRow" dxfId="49"/>
      <tableStyleElement type="firstRowStripe" dxfId="48"/>
      <tableStyleElement type="firstColumnStripe" dxfId="47"/>
      <tableStyleElement type="firstHeaderCell" dxfId="46"/>
      <tableStyleElement type="firstSubtotalColumn" dxfId="45"/>
      <tableStyleElement type="firstSubtotalRow" dxfId="44"/>
      <tableStyleElement type="secondSubtotalRow" dxfId="43"/>
      <tableStyleElement type="thirdSubtotalRow" dxfId="42"/>
      <tableStyleElement type="firstColumnSubheading" dxfId="41"/>
      <tableStyleElement type="firstRowSubheading" dxfId="40"/>
      <tableStyleElement type="secondRowSubheading" dxfId="39"/>
      <tableStyleElement type="thirdRowSubheading" dxfId="38"/>
      <tableStyleElement type="pageFieldLabels" dxfId="37"/>
      <tableStyleElement type="pageFieldValues" dxfId="36"/>
    </tableStyle>
  </tableStyles>
  <colors>
    <mruColors>
      <color rgb="FFFF7C80"/>
      <color rgb="FFFF5050"/>
      <color rgb="FFFF3300"/>
      <color rgb="FF66CCFF"/>
      <color rgb="FFFF9966"/>
      <color rgb="FFCCCCFF"/>
      <color rgb="FFFF0066"/>
      <color rgb="FFCCECFF"/>
      <color rgb="FFCCFFFF"/>
      <color rgb="FF00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0</xdr:col>
      <xdr:colOff>49119</xdr:colOff>
      <xdr:row>0</xdr:row>
      <xdr:rowOff>55284</xdr:rowOff>
    </xdr:from>
    <xdr:to>
      <xdr:col>2</xdr:col>
      <xdr:colOff>38287</xdr:colOff>
      <xdr:row>6</xdr:row>
      <xdr:rowOff>0</xdr:rowOff>
    </xdr:to>
    <mc:AlternateContent xmlns:mc="http://schemas.openxmlformats.org/markup-compatibility/2006" xmlns:a14="http://schemas.microsoft.com/office/drawing/2010/main">
      <mc:Choice Requires="a14">
        <xdr:graphicFrame macro="">
          <xdr:nvGraphicFramePr>
            <xdr:cNvPr id="2" name="Ship To Location   ">
              <a:extLst>
                <a:ext uri="{FF2B5EF4-FFF2-40B4-BE49-F238E27FC236}">
                  <a16:creationId xmlns:a16="http://schemas.microsoft.com/office/drawing/2014/main" id="{A11C923D-8A93-ED71-21C3-54C3C7520B2C}"/>
                </a:ext>
              </a:extLst>
            </xdr:cNvPr>
            <xdr:cNvGraphicFramePr/>
          </xdr:nvGraphicFramePr>
          <xdr:xfrm>
            <a:off x="0" y="0"/>
            <a:ext cx="0" cy="0"/>
          </xdr:xfrm>
          <a:graphic>
            <a:graphicData uri="http://schemas.microsoft.com/office/drawing/2010/slicer">
              <sle:slicer xmlns:sle="http://schemas.microsoft.com/office/drawing/2010/slicer" name="Ship To Location   "/>
            </a:graphicData>
          </a:graphic>
        </xdr:graphicFrame>
      </mc:Choice>
      <mc:Fallback xmlns="">
        <xdr:sp macro="" textlink="">
          <xdr:nvSpPr>
            <xdr:cNvPr id="0" name=""/>
            <xdr:cNvSpPr>
              <a:spLocks noTextEdit="1"/>
            </xdr:cNvSpPr>
          </xdr:nvSpPr>
          <xdr:spPr>
            <a:xfrm>
              <a:off x="49119" y="55283"/>
              <a:ext cx="1828800" cy="8225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142500</xdr:colOff>
      <xdr:row>0</xdr:row>
      <xdr:rowOff>36607</xdr:rowOff>
    </xdr:from>
    <xdr:to>
      <xdr:col>6</xdr:col>
      <xdr:colOff>46692</xdr:colOff>
      <xdr:row>10</xdr:row>
      <xdr:rowOff>56030</xdr:rowOff>
    </xdr:to>
    <mc:AlternateContent xmlns:mc="http://schemas.openxmlformats.org/markup-compatibility/2006" xmlns:a14="http://schemas.microsoft.com/office/drawing/2010/main">
      <mc:Choice Requires="a14">
        <xdr:graphicFrame macro="">
          <xdr:nvGraphicFramePr>
            <xdr:cNvPr id="6" name="Item Name">
              <a:extLst>
                <a:ext uri="{FF2B5EF4-FFF2-40B4-BE49-F238E27FC236}">
                  <a16:creationId xmlns:a16="http://schemas.microsoft.com/office/drawing/2014/main" id="{3C3963C1-5D4A-9518-C9CE-3CC868A90165}"/>
                </a:ext>
              </a:extLst>
            </xdr:cNvPr>
            <xdr:cNvGraphicFramePr/>
          </xdr:nvGraphicFramePr>
          <xdr:xfrm>
            <a:off x="0" y="0"/>
            <a:ext cx="0" cy="0"/>
          </xdr:xfrm>
          <a:graphic>
            <a:graphicData uri="http://schemas.microsoft.com/office/drawing/2010/slicer">
              <sle:slicer xmlns:sle="http://schemas.microsoft.com/office/drawing/2010/slicer" name="Item Name"/>
            </a:graphicData>
          </a:graphic>
        </xdr:graphicFrame>
      </mc:Choice>
      <mc:Fallback xmlns="">
        <xdr:sp macro="" textlink="">
          <xdr:nvSpPr>
            <xdr:cNvPr id="0" name=""/>
            <xdr:cNvSpPr>
              <a:spLocks noTextEdit="1"/>
            </xdr:cNvSpPr>
          </xdr:nvSpPr>
          <xdr:spPr>
            <a:xfrm>
              <a:off x="1982132" y="36607"/>
              <a:ext cx="3639486" cy="14201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49119</xdr:colOff>
      <xdr:row>6</xdr:row>
      <xdr:rowOff>92635</xdr:rowOff>
    </xdr:from>
    <xdr:to>
      <xdr:col>2</xdr:col>
      <xdr:colOff>38287</xdr:colOff>
      <xdr:row>21</xdr:row>
      <xdr:rowOff>84043</xdr:rowOff>
    </xdr:to>
    <mc:AlternateContent xmlns:mc="http://schemas.openxmlformats.org/markup-compatibility/2006" xmlns:a14="http://schemas.microsoft.com/office/drawing/2010/main">
      <mc:Choice Requires="a14">
        <xdr:graphicFrame macro="">
          <xdr:nvGraphicFramePr>
            <xdr:cNvPr id="7" name="Dealer Purchase Order # ">
              <a:extLst>
                <a:ext uri="{FF2B5EF4-FFF2-40B4-BE49-F238E27FC236}">
                  <a16:creationId xmlns:a16="http://schemas.microsoft.com/office/drawing/2014/main" id="{0B6B4E3F-780B-233C-9299-F39907414F06}"/>
                </a:ext>
              </a:extLst>
            </xdr:cNvPr>
            <xdr:cNvGraphicFramePr/>
          </xdr:nvGraphicFramePr>
          <xdr:xfrm>
            <a:off x="0" y="0"/>
            <a:ext cx="0" cy="0"/>
          </xdr:xfrm>
          <a:graphic>
            <a:graphicData uri="http://schemas.microsoft.com/office/drawing/2010/slicer">
              <sle:slicer xmlns:sle="http://schemas.microsoft.com/office/drawing/2010/slicer" name="Dealer Purchase Order # "/>
            </a:graphicData>
          </a:graphic>
        </xdr:graphicFrame>
      </mc:Choice>
      <mc:Fallback xmlns="">
        <xdr:sp macro="" textlink="">
          <xdr:nvSpPr>
            <xdr:cNvPr id="0" name=""/>
            <xdr:cNvSpPr>
              <a:spLocks noTextEdit="1"/>
            </xdr:cNvSpPr>
          </xdr:nvSpPr>
          <xdr:spPr>
            <a:xfrm>
              <a:off x="49119" y="933076"/>
              <a:ext cx="1828800" cy="20925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jburgart/Desktop/___2025%20Pending%20Report%20Template%20%5bMAIN%5d.xlsx%5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a Palmer" refreshedDate="45258.501578009258" createdVersion="8" refreshedVersion="8" minRefreshableVersion="3" recordCount="60" xr:uid="{766EE069-BF0C-4740-A3C5-5B8E610FC0E8}">
  <cacheSource type="worksheet">
    <worksheetSource ref="C7:T67" sheet=".xlsx].xlsx]REVISE HERE" r:id="rId2"/>
  </cacheSource>
  <cacheFields count="18">
    <cacheField name="Dealer Name                            " numFmtId="0">
      <sharedItems containsNonDate="0" containsString="0" containsBlank="1"/>
    </cacheField>
    <cacheField name="Ship To Location   " numFmtId="0">
      <sharedItems containsNonDate="0" containsBlank="1" count="2">
        <m/>
        <s v="Boulder" u="1"/>
      </sharedItems>
    </cacheField>
    <cacheField name="Dealer NuOrder Order #   " numFmtId="0">
      <sharedItems containsNonDate="0" containsString="0" containsBlank="1"/>
    </cacheField>
    <cacheField name="Dealer Purchase Order # " numFmtId="0">
      <sharedItems containsNonDate="0" containsBlank="1" count="8">
        <m/>
        <s v="TEST NUO SYNC - DNS" u="1"/>
        <s v="TEST" u="1"/>
        <s v="TEST 2" u="1"/>
        <s v="TEST 3" u="1"/>
        <s v="TEST 6" u="1"/>
        <s v="TESTDONOTSHIP1" u="1"/>
        <s v="DO NOT SHIP | JULIA PENDING TEST" u="1"/>
      </sharedItems>
    </cacheField>
    <cacheField name="Requested Ship Date" numFmtId="14">
      <sharedItems containsNonDate="0" containsString="0" containsBlank="1"/>
    </cacheField>
    <cacheField name="Cancel Date" numFmtId="14">
      <sharedItems containsNonDate="0" containsString="0" containsBlank="1"/>
    </cacheField>
    <cacheField name="Preseason Order" numFmtId="0">
      <sharedItems containsNonDate="0" containsString="0" containsBlank="1"/>
    </cacheField>
    <cacheField name="Terms" numFmtId="0">
      <sharedItems containsNonDate="0" containsString="0" containsBlank="1"/>
    </cacheField>
    <cacheField name="Order Total Comm. Amt." numFmtId="0">
      <sharedItems containsNonDate="0" containsString="0" containsBlank="1"/>
    </cacheField>
    <cacheField name="Currency" numFmtId="0">
      <sharedItems containsNonDate="0" containsString="0" containsBlank="1"/>
    </cacheField>
    <cacheField name="VPN" numFmtId="0">
      <sharedItems containsNonDate="0" containsBlank="1" count="58">
        <m/>
        <s v="46B-999311-47" u="1"/>
        <s v="10S-BY-35.5" u="1"/>
        <s v="53J-NoCo-03" u="1"/>
        <s v="46D-999311-40.5" u="1"/>
        <s v="56A-999100-43" u="1"/>
        <s v="30G-719719-40" u="1"/>
        <s v="20G-000100-37" u="1"/>
        <s v="20G-000100-38" u="1"/>
        <s v="20G-000100-37.5" u="1"/>
        <s v="20G-000100-38.5" u="1"/>
        <s v="20H-000203-35" u="1"/>
        <s v="20H-000203-36" u="1"/>
        <s v="20H-000203-37" u="1"/>
        <s v="20H-000203-35.5" u="1"/>
        <s v="20H-000203-36.5" u="1"/>
        <s v="20H-000203-37.5" u="1"/>
        <s v="34S-900313-41" u="1"/>
        <s v="34S-900313-42" u="1"/>
        <s v="34S-900313-43" u="1"/>
        <s v="34S-900313-41.5" u="1"/>
        <s v="34S-900313-42.5" u="1"/>
        <s v="34T-624900-38" u="1"/>
        <s v="34T-624900-39" u="1"/>
        <s v="34T-624900-40" u="1"/>
        <s v="34T-624900-38.5" u="1"/>
        <s v="34T-624900-39.5" u="1"/>
        <s v="34T-624900-40.5" u="1"/>
        <s v="34K-810317W-38" u="1"/>
        <s v="34K-810317W-38.5" u="1"/>
        <s v="34K-810317W-39" u="1"/>
        <s v="34K-810317W-39.5" u="1"/>
        <s v="34K-810317W-40" u="1"/>
        <s v="34K-810317W-40.5" u="1"/>
        <s v="34K-810317W-41" u="1"/>
        <s v="34K-810317W-41.5" u="1"/>
        <s v="34K-810317W-42" u="1"/>
        <s v="34K-810317W-42.5" u="1"/>
        <s v="34K-810317W-43" u="1"/>
        <s v="34K-810317W-44" u="1"/>
        <s v="34K-810317W-44.5" u="1"/>
        <s v="34K-810317W-45" u="1"/>
        <s v="34K-810317W-45.5" u="1"/>
        <s v="34K-810317W-46" u="1"/>
        <s v="34K-810317W-47" u="1"/>
        <s v="21T-909715-36" u="1"/>
        <s v="21T-909715-36.5" u="1"/>
        <s v="21T-909715-37" u="1"/>
        <s v="21T-909715-37.5" u="1"/>
        <s v="21T-909715-38" u="1"/>
        <s v="21T-909715-38.5" u="1"/>
        <s v="21T-909715-39" u="1"/>
        <s v="21T-909715-39.5" u="1"/>
        <s v="21T-909715-40" u="1"/>
        <s v="21T-909715-40.5" u="1"/>
        <s v="21T-909715-41" u="1"/>
        <s v="21T-909715-41.5" u="1"/>
        <s v="21T-909715-42" u="1"/>
      </sharedItems>
    </cacheField>
    <cacheField name="Item Name" numFmtId="0">
      <sharedItems containsNonDate="0" containsBlank="1" count="13">
        <m/>
        <s v="JACKAL" u="1"/>
        <s v="SKWAMA" u="1"/>
        <s v="RATCHET VANGUARD" u="1"/>
        <s v="HELIOS III" u="1"/>
        <s v="AKASHA II" u="1"/>
        <s v="TC PRO" u="1"/>
        <s v="SOLUTION" u="1"/>
        <s v="SOLUTION WOMENS" u="1"/>
        <s v="TX HIKE MID GTX" u="1"/>
        <s v="TX HIKE MID GTX WOMENS" u="1"/>
        <s v="ULTRA RAPTOR II MID LEATHER WIDE GTX" u="1"/>
        <s v="TRANGO TECH LEATHER GTX WOMENS" u="1"/>
      </sharedItems>
    </cacheField>
    <cacheField name="Color Name" numFmtId="0">
      <sharedItems containsNonDate="0" containsString="0" containsBlank="1"/>
    </cacheField>
    <cacheField name="UPC Code" numFmtId="0">
      <sharedItems containsNonDate="0" containsString="0" containsBlank="1"/>
    </cacheField>
    <cacheField name="Ordered" numFmtId="0">
      <sharedItems containsNonDate="0" containsString="0" containsBlank="1"/>
    </cacheField>
    <cacheField name="Committed" numFmtId="0">
      <sharedItems containsNonDate="0" containsString="0" containsBlank="1"/>
    </cacheField>
    <cacheField name="B/O" numFmtId="0">
      <sharedItems containsNonDate="0" containsString="0" containsBlank="1"/>
    </cacheField>
    <cacheField name="Estimited Time of Arival" numFmtId="14">
      <sharedItems containsNonDate="0" containsString="0" containsBlank="1"/>
    </cacheField>
  </cacheFields>
  <extLst>
    <ext xmlns:x14="http://schemas.microsoft.com/office/spreadsheetml/2009/9/main" uri="{725AE2AE-9491-48be-B2B4-4EB974FC3084}">
      <x14:pivotCacheDefinition pivotCacheId="1969302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r>
    <m/>
    <x v="0"/>
    <m/>
    <x v="0"/>
    <m/>
    <m/>
    <m/>
    <m/>
    <m/>
    <m/>
    <x v="0"/>
    <x v="0"/>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E60FBA-63B7-4F1C-9620-6678E2640F99}"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ending Report">
  <location ref="A24:D25" firstHeaderRow="0" firstDataRow="1" firstDataCol="1"/>
  <pivotFields count="18">
    <pivotField showAll="0"/>
    <pivotField showAll="0">
      <items count="3">
        <item m="1" x="1"/>
        <item x="0"/>
        <item t="default"/>
      </items>
    </pivotField>
    <pivotField showAll="0"/>
    <pivotField showAll="0">
      <items count="9">
        <item m="1" x="7"/>
        <item m="1" x="2"/>
        <item m="1" x="3"/>
        <item m="1" x="4"/>
        <item m="1" x="5"/>
        <item m="1" x="1"/>
        <item m="1" x="6"/>
        <item x="0"/>
        <item t="default"/>
      </items>
    </pivotField>
    <pivotField showAll="0"/>
    <pivotField showAll="0"/>
    <pivotField showAll="0"/>
    <pivotField showAll="0"/>
    <pivotField showAll="0"/>
    <pivotField showAll="0"/>
    <pivotField axis="axisRow" showAll="0">
      <items count="59">
        <item m="1" x="10"/>
        <item m="1" x="12"/>
        <item m="1" x="7"/>
        <item m="1" x="8"/>
        <item m="1" x="9"/>
        <item m="1" x="11"/>
        <item m="1" x="13"/>
        <item m="1" x="14"/>
        <item m="1" x="15"/>
        <item m="1" x="16"/>
        <item m="1" x="17"/>
        <item m="1" x="18"/>
        <item m="1" x="19"/>
        <item m="1" x="20"/>
        <item m="1" x="21"/>
        <item m="1" x="22"/>
        <item m="1" x="23"/>
        <item m="1" x="24"/>
        <item m="1" x="25"/>
        <item m="1" x="26"/>
        <item m="1" x="27"/>
        <item m="1" x="1"/>
        <item m="1" x="2"/>
        <item m="1" x="3"/>
        <item m="1" x="4"/>
        <item m="1" x="5"/>
        <item m="1" x="6"/>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x="0"/>
        <item t="default"/>
      </items>
    </pivotField>
    <pivotField axis="axisRow" showAll="0">
      <items count="14">
        <item h="1" m="1" x="7"/>
        <item h="1" m="1" x="8"/>
        <item h="1" m="1" x="9"/>
        <item h="1" m="1" x="10"/>
        <item h="1" m="1" x="1"/>
        <item h="1" m="1" x="2"/>
        <item m="1" x="3"/>
        <item h="1" m="1" x="4"/>
        <item h="1" m="1" x="5"/>
        <item h="1" m="1" x="6"/>
        <item h="1" m="1" x="11"/>
        <item h="1" m="1" x="12"/>
        <item h="1" x="0"/>
        <item t="default"/>
      </items>
    </pivotField>
    <pivotField showAll="0"/>
    <pivotField showAll="0"/>
    <pivotField dataField="1" showAll="0"/>
    <pivotField dataField="1" showAll="0"/>
    <pivotField dataField="1" showAll="0"/>
    <pivotField showAll="0"/>
  </pivotFields>
  <rowFields count="2">
    <field x="11"/>
    <field x="10"/>
  </rowFields>
  <rowItems count="1">
    <i t="grand">
      <x/>
    </i>
  </rowItems>
  <colFields count="1">
    <field x="-2"/>
  </colFields>
  <colItems count="3">
    <i>
      <x/>
    </i>
    <i i="1">
      <x v="1"/>
    </i>
    <i i="2">
      <x v="2"/>
    </i>
  </colItems>
  <dataFields count="3">
    <dataField name="Sum of Ordered" fld="14" baseField="0" baseItem="0"/>
    <dataField name="Sum of Committed" fld="15" baseField="0" baseItem="0"/>
    <dataField name="Sum of B/O" fld="16" baseField="0" baseItem="0"/>
  </dataFields>
  <formats count="1">
    <format dxfId="35">
      <pivotArea dataOnly="0" labelOnly="1" outline="0" fieldPosition="0">
        <references count="1">
          <reference field="4294967294" count="3">
            <x v="0"/>
            <x v="1"/>
            <x v="2"/>
          </reference>
        </references>
      </pivotArea>
    </format>
  </formats>
  <pivotTableStyleInfo name="PivotStyleMedium2 2"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To_Location" xr10:uid="{B9127502-048E-4774-A05F-A3EF551558E5}" sourceName="Ship To Location   ">
  <pivotTables>
    <pivotTable tabId="7" name="PivotTable3"/>
  </pivotTables>
  <data>
    <tabular pivotCacheId="196930286">
      <items count="2">
        <i x="1" s="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 xr10:uid="{88A8CFA5-6A67-41BC-99CD-AF0889BF0FC2}" sourceName="Item Name">
  <pivotTables>
    <pivotTable tabId="7" name="PivotTable3"/>
  </pivotTables>
  <data>
    <tabular pivotCacheId="196930286">
      <items count="13">
        <i x="5" nd="1"/>
        <i x="4" nd="1"/>
        <i x="1" nd="1"/>
        <i x="3" s="1" nd="1"/>
        <i x="2" nd="1"/>
        <i x="7" nd="1"/>
        <i x="8" nd="1"/>
        <i x="6" nd="1"/>
        <i x="12" nd="1"/>
        <i x="9" nd="1"/>
        <i x="10" nd="1"/>
        <i x="11" nd="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er_Purchase_Order" xr10:uid="{A229CDED-3495-4AD0-B5D5-CA411C2C5F8B}" sourceName="Dealer Purchase Order # ">
  <pivotTables>
    <pivotTable tabId="7" name="PivotTable3"/>
  </pivotTables>
  <data>
    <tabular pivotCacheId="196930286">
      <items count="8">
        <i x="7" s="1" nd="1"/>
        <i x="2" s="1" nd="1"/>
        <i x="3" s="1" nd="1"/>
        <i x="4" s="1" nd="1"/>
        <i x="5" s="1" nd="1"/>
        <i x="1" s="1" nd="1"/>
        <i x="6" s="1" nd="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To Location   " xr10:uid="{B2E2A810-D0A0-439A-B2FF-8FE43CF43136}" cache="Slicer_Ship_To_Location" caption="Ship To Location   " style="SlicerStyleLight6" rowHeight="193675"/>
  <slicer name="Item Name" xr10:uid="{01970724-9DC7-435B-9184-3F576BC6F258}" cache="Slicer_Item_Name" caption="Item Name" columnCount="3" style="SlicerStyleLight6" rowHeight="193675"/>
  <slicer name="Dealer Purchase Order # " xr10:uid="{EE452450-EC90-4DA1-A08C-5A0DB2D5A2B4}" cache="Slicer_Dealer_Purchase_Order" caption="Dealer Purchase Order # " style="SlicerStyleLight6" rowHeight="1936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ABD149-C79B-4A7E-A161-F821A1F678E3}" name="Table2" displayName="Table2" ref="A2:O53" totalsRowShown="0" headerRowDxfId="34" dataDxfId="33">
  <autoFilter ref="A2:O53" xr:uid="{10ABD149-C79B-4A7E-A161-F821A1F678E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9CF30494-5D26-4C6E-8756-8A289FB3AF5D}" name="(Reserved)" dataDxfId="32"/>
    <tableColumn id="2" xr3:uid="{524C2F83-3C34-44DD-AA70-E8B34050029A}" name="Internal Id" dataDxfId="31"/>
    <tableColumn id="3" xr3:uid="{B4835B44-B32F-4111-803D-3460CD250D3C}" name="Tran Id" dataDxfId="30"/>
    <tableColumn id="4" xr3:uid="{9E853F0A-77A5-47DC-9257-FA57605D4818}" name="Entity" dataDxfId="29"/>
    <tableColumn id="5" xr3:uid="{5ECBA638-37A0-4C61-B233-79AB2A3A8D4D}" name="Item List: Line" dataDxfId="28"/>
    <tableColumn id="6" xr3:uid="{F2E7EE71-95A5-4964-8D7B-CBB7590A7D93}" name="Item List: Item" dataDxfId="27"/>
    <tableColumn id="7" xr3:uid="{47448084-A465-402A-89C5-0820FDDDB536}" name="Item List: Replace All" dataDxfId="26"/>
    <tableColumn id="8" xr3:uid="{FA1D9DA4-9D10-44EF-BE00-6F58E55DB8D4}" name="Item List: Quantity" dataDxfId="25"/>
    <tableColumn id="9" xr3:uid="{8102F5ED-E91E-4289-A352-FF2255EFDDC4}" name="Item List: Is Closed" dataDxfId="24"/>
    <tableColumn id="10" xr3:uid="{F5B60218-829A-4038-9740-6E7FCC940FD9}" name="Item List: Item Schedule Date 1" dataDxfId="23"/>
    <tableColumn id="11" xr3:uid="{9764E648-6127-46A7-8536-6F2F8D6FCBE9}" name="NEXT B/O ETA" dataDxfId="22"/>
    <tableColumn id="12" xr3:uid="{45641167-9069-4268-B8E4-FC8D92741244}" name="Revisions Received" dataDxfId="21"/>
    <tableColumn id="13" xr3:uid="{FA73DE08-846C-4F71-A90B-FC6012766DEB}" name="Revised Date" dataDxfId="20"/>
    <tableColumn id="14" xr3:uid="{353245DB-9D7A-46DC-9B48-E8DE543AF46A}" name="Ship as Requested" dataDxfId="19"/>
    <tableColumn id="15" xr3:uid="{83312C9A-D380-4298-8260-3CA8588DBDCD}" name="SO Notes" dataDxfId="18"/>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AED6CF4-5F9E-41F3-99CA-423C8F6EB4FF}">
  <we:reference id="wa104380426" version="1.2.0.2" store="en-US" storeType="OMEX"/>
  <we:alternateReferences>
    <we:reference id="wa104380426" version="1.2.0.2" store="en-US" storeType="OMEX"/>
  </we:alternateReferences>
  <we:properties/>
  <we:bindings>
    <we:binding id="celigotable_0DB49CDA" type="table" appref="{6BB44BE5-5294-42F5-B935-78126A50964C}"/>
    <we:binding id="celigotable_F43D347D" type="table" appref="{09B917BA-B262-4844-979E-22AD27C1E32C}"/>
    <we:binding id="celigotable_B9FE62E6" type="table" appref="{A588868D-EBE0-4D4D-AA7C-CDECAFE2C8C7}"/>
    <we:binding id="celigotable_78854609" type="table" appref="{7A3C3B44-4111-4D33-976F-822E6F0587F9}"/>
    <we:binding id="celigotable_FF1DBE9A" type="table" appref="{15AE68F5-A5E0-4C19-ADBB-B39F12B17BBA}"/>
    <we:binding id="celigotable_4E2FD781" type="table" appref="{DD6B4439-A8EB-4D35-8AE4-4D3F3FB1E1E2}"/>
    <we:binding id="celigotable_F3B09014" type="table" appref="{82245BEF-0CE6-472D-B2E3-DC85B188B9DE}"/>
    <we:binding id="celigotable_CB88537E" type="table" appref="{4D48A1E7-874D-4AAE-8C4E-B345B3FE22EF}"/>
    <we:binding id="celigotable_5B3BB2B3" type="table" appref="{649030CB-65B6-41CF-B50E-9930568FF42A}"/>
    <we:binding id="celigotable_96C2FD7F" type="table" appref="{A6EA109A-6317-4A46-98B7-56078FF0AE67}"/>
    <we:binding id="celigotable_FAA78D89" type="table" appref="{1DC4FE72-D42C-47B7-940F-75151517F73E}"/>
    <we:binding id="celigotable_28167B0A" type="table" appref="{82007779-50DA-4B50-ABB2-A070096567FB}"/>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69EE4-26F3-4F59-88F1-07D17699A80F}">
  <dimension ref="A24:F1426"/>
  <sheetViews>
    <sheetView zoomScale="102" workbookViewId="0">
      <selection activeCell="B24" sqref="B24"/>
    </sheetView>
  </sheetViews>
  <sheetFormatPr defaultRowHeight="10.199999999999999" x14ac:dyDescent="0.2"/>
  <cols>
    <col min="1" max="1" width="16.140625" bestFit="1" customWidth="1"/>
    <col min="2" max="2" width="16" bestFit="1" customWidth="1"/>
    <col min="3" max="3" width="18.85546875" bestFit="1" customWidth="1"/>
    <col min="4" max="4" width="11.140625" bestFit="1" customWidth="1"/>
    <col min="5" max="5" width="15.85546875" bestFit="1" customWidth="1"/>
    <col min="6" max="6" width="19.7109375" style="3" bestFit="1" customWidth="1"/>
    <col min="7" max="7" width="15.7109375" bestFit="1" customWidth="1"/>
    <col min="8" max="8" width="10.28515625" bestFit="1" customWidth="1"/>
    <col min="9" max="9" width="14" bestFit="1" customWidth="1"/>
    <col min="10" max="10" width="23.7109375" bestFit="1" customWidth="1"/>
    <col min="11" max="11" width="8.85546875" bestFit="1" customWidth="1"/>
    <col min="12" max="12" width="17.140625" bestFit="1" customWidth="1"/>
    <col min="13" max="13" width="16.28515625" bestFit="1" customWidth="1"/>
    <col min="14" max="14" width="8" bestFit="1" customWidth="1"/>
    <col min="15" max="15" width="6.28515625" bestFit="1" customWidth="1"/>
    <col min="16" max="16" width="22.140625" bestFit="1" customWidth="1"/>
    <col min="17" max="17" width="8.140625" bestFit="1" customWidth="1"/>
    <col min="18" max="18" width="16.42578125" bestFit="1" customWidth="1"/>
    <col min="19" max="19" width="8.42578125" bestFit="1" customWidth="1"/>
    <col min="20" max="20" width="7.28515625" bestFit="1" customWidth="1"/>
    <col min="21" max="21" width="9.42578125" bestFit="1" customWidth="1"/>
    <col min="22" max="22" width="18" bestFit="1" customWidth="1"/>
    <col min="23" max="23" width="13.7109375" bestFit="1" customWidth="1"/>
    <col min="24" max="24" width="31" bestFit="1" customWidth="1"/>
    <col min="25" max="25" width="35.7109375" bestFit="1" customWidth="1"/>
    <col min="26" max="26" width="31.28515625" bestFit="1" customWidth="1"/>
    <col min="27" max="27" width="14.140625" bestFit="1" customWidth="1"/>
    <col min="28" max="28" width="12.28515625" bestFit="1" customWidth="1"/>
    <col min="29" max="29" width="14.85546875" bestFit="1" customWidth="1"/>
    <col min="30" max="30" width="15.85546875" bestFit="1" customWidth="1"/>
    <col min="31" max="31" width="19" bestFit="1" customWidth="1"/>
    <col min="32" max="32" width="19.28515625" bestFit="1" customWidth="1"/>
    <col min="33" max="33" width="13.85546875" bestFit="1" customWidth="1"/>
    <col min="34" max="34" width="14.140625" bestFit="1" customWidth="1"/>
    <col min="35" max="35" width="15.28515625" bestFit="1" customWidth="1"/>
    <col min="36" max="36" width="6" bestFit="1" customWidth="1"/>
    <col min="37" max="37" width="14.28515625" bestFit="1" customWidth="1"/>
    <col min="38" max="38" width="16" bestFit="1" customWidth="1"/>
    <col min="39" max="39" width="24.42578125" bestFit="1" customWidth="1"/>
    <col min="40" max="40" width="9.7109375" bestFit="1" customWidth="1"/>
    <col min="41" max="41" width="15.140625" bestFit="1" customWidth="1"/>
    <col min="42" max="42" width="23.7109375" bestFit="1" customWidth="1"/>
    <col min="43" max="43" width="8.85546875" bestFit="1" customWidth="1"/>
    <col min="44" max="44" width="17.140625" bestFit="1" customWidth="1"/>
    <col min="45" max="45" width="16.28515625" bestFit="1" customWidth="1"/>
    <col min="46" max="46" width="8" bestFit="1" customWidth="1"/>
    <col min="47" max="47" width="6.28515625" bestFit="1" customWidth="1"/>
    <col min="48" max="48" width="22.140625" bestFit="1" customWidth="1"/>
    <col min="49" max="49" width="8.140625" bestFit="1" customWidth="1"/>
    <col min="50" max="50" width="16.42578125" bestFit="1" customWidth="1"/>
    <col min="51" max="51" width="8.42578125" bestFit="1" customWidth="1"/>
    <col min="52" max="52" width="7.28515625" bestFit="1" customWidth="1"/>
    <col min="53" max="53" width="9.42578125" bestFit="1" customWidth="1"/>
    <col min="54" max="54" width="18" bestFit="1" customWidth="1"/>
    <col min="55" max="55" width="13.7109375" bestFit="1" customWidth="1"/>
    <col min="56" max="56" width="31" bestFit="1" customWidth="1"/>
    <col min="57" max="57" width="35.7109375" bestFit="1" customWidth="1"/>
    <col min="58" max="58" width="31.28515625" bestFit="1" customWidth="1"/>
    <col min="59" max="59" width="14.140625" bestFit="1" customWidth="1"/>
    <col min="60" max="60" width="12.28515625" bestFit="1" customWidth="1"/>
    <col min="61" max="61" width="14.85546875" bestFit="1" customWidth="1"/>
    <col min="62" max="62" width="15.85546875" bestFit="1" customWidth="1"/>
    <col min="63" max="63" width="19" bestFit="1" customWidth="1"/>
    <col min="64" max="64" width="19.28515625" bestFit="1" customWidth="1"/>
    <col min="65" max="65" width="13.85546875" bestFit="1" customWidth="1"/>
    <col min="66" max="66" width="14" bestFit="1" customWidth="1"/>
    <col min="67" max="67" width="15.28515625" bestFit="1" customWidth="1"/>
    <col min="68" max="68" width="6" bestFit="1" customWidth="1"/>
    <col min="69" max="69" width="14.28515625" bestFit="1" customWidth="1"/>
    <col min="70" max="70" width="16" bestFit="1" customWidth="1"/>
    <col min="71" max="71" width="24.42578125" bestFit="1" customWidth="1"/>
    <col min="72" max="72" width="9.7109375" bestFit="1" customWidth="1"/>
    <col min="73" max="73" width="15.140625" bestFit="1" customWidth="1"/>
    <col min="74" max="74" width="23.7109375" bestFit="1" customWidth="1"/>
    <col min="75" max="75" width="8.85546875" bestFit="1" customWidth="1"/>
    <col min="76" max="76" width="17.140625" bestFit="1" customWidth="1"/>
    <col min="77" max="77" width="16.28515625" bestFit="1" customWidth="1"/>
    <col min="78" max="78" width="8" bestFit="1" customWidth="1"/>
    <col min="79" max="79" width="6.28515625" bestFit="1" customWidth="1"/>
    <col min="80" max="80" width="22.140625" bestFit="1" customWidth="1"/>
    <col min="81" max="81" width="8.140625" bestFit="1" customWidth="1"/>
    <col min="82" max="82" width="16.42578125" bestFit="1" customWidth="1"/>
    <col min="83" max="83" width="8.42578125" bestFit="1" customWidth="1"/>
    <col min="84" max="84" width="7.28515625" bestFit="1" customWidth="1"/>
    <col min="85" max="85" width="9.42578125" bestFit="1" customWidth="1"/>
    <col min="86" max="86" width="18" bestFit="1" customWidth="1"/>
    <col min="87" max="87" width="13.7109375" bestFit="1" customWidth="1"/>
    <col min="88" max="88" width="31" bestFit="1" customWidth="1"/>
    <col min="89" max="89" width="35.7109375" bestFit="1" customWidth="1"/>
    <col min="90" max="90" width="31.28515625" bestFit="1" customWidth="1"/>
    <col min="91" max="91" width="14.140625" bestFit="1" customWidth="1"/>
    <col min="92" max="92" width="12.28515625" bestFit="1" customWidth="1"/>
    <col min="93" max="93" width="14.85546875" bestFit="1" customWidth="1"/>
    <col min="94" max="94" width="15.85546875" bestFit="1" customWidth="1"/>
    <col min="95" max="95" width="19" bestFit="1" customWidth="1"/>
    <col min="96" max="96" width="19.28515625" bestFit="1" customWidth="1"/>
    <col min="97" max="97" width="13.85546875" bestFit="1" customWidth="1"/>
    <col min="98" max="98" width="10.28515625" bestFit="1" customWidth="1"/>
    <col min="99" max="99" width="15.28515625" bestFit="1" customWidth="1"/>
    <col min="100" max="100" width="6" bestFit="1" customWidth="1"/>
    <col min="101" max="101" width="14.28515625" bestFit="1" customWidth="1"/>
    <col min="102" max="102" width="16" bestFit="1" customWidth="1"/>
    <col min="103" max="103" width="24.42578125" bestFit="1" customWidth="1"/>
    <col min="104" max="104" width="9.7109375" bestFit="1" customWidth="1"/>
    <col min="105" max="105" width="15.140625" bestFit="1" customWidth="1"/>
    <col min="106" max="106" width="23.7109375" bestFit="1" customWidth="1"/>
    <col min="107" max="107" width="8.85546875" bestFit="1" customWidth="1"/>
    <col min="108" max="108" width="17.140625" bestFit="1" customWidth="1"/>
    <col min="109" max="109" width="16.28515625" bestFit="1" customWidth="1"/>
    <col min="110" max="110" width="8" bestFit="1" customWidth="1"/>
    <col min="111" max="111" width="6.28515625" bestFit="1" customWidth="1"/>
    <col min="112" max="112" width="22.140625" bestFit="1" customWidth="1"/>
    <col min="113" max="113" width="8.140625" bestFit="1" customWidth="1"/>
    <col min="114" max="114" width="16.42578125" bestFit="1" customWidth="1"/>
    <col min="115" max="115" width="8.42578125" bestFit="1" customWidth="1"/>
    <col min="116" max="116" width="7.28515625" bestFit="1" customWidth="1"/>
    <col min="117" max="117" width="9.42578125" bestFit="1" customWidth="1"/>
    <col min="118" max="118" width="18" bestFit="1" customWidth="1"/>
    <col min="119" max="119" width="13.7109375" bestFit="1" customWidth="1"/>
    <col min="120" max="120" width="31" bestFit="1" customWidth="1"/>
    <col min="121" max="121" width="35.7109375" bestFit="1" customWidth="1"/>
    <col min="122" max="122" width="31.28515625" bestFit="1" customWidth="1"/>
    <col min="123" max="123" width="14.140625" bestFit="1" customWidth="1"/>
    <col min="124" max="124" width="12.28515625" bestFit="1" customWidth="1"/>
    <col min="125" max="125" width="14.85546875" bestFit="1" customWidth="1"/>
    <col min="126" max="126" width="15.85546875" bestFit="1" customWidth="1"/>
    <col min="127" max="127" width="19" bestFit="1" customWidth="1"/>
    <col min="128" max="128" width="19.28515625" bestFit="1" customWidth="1"/>
    <col min="129" max="129" width="13.85546875" bestFit="1" customWidth="1"/>
    <col min="130" max="130" width="20.140625" bestFit="1" customWidth="1"/>
    <col min="131" max="131" width="18.7109375" bestFit="1" customWidth="1"/>
    <col min="132" max="132" width="18.42578125" bestFit="1" customWidth="1"/>
    <col min="133" max="133" width="14.85546875" bestFit="1" customWidth="1"/>
    <col min="134" max="134" width="28.7109375" bestFit="1" customWidth="1"/>
    <col min="135" max="135" width="27.140625" bestFit="1" customWidth="1"/>
    <col min="136" max="136" width="27" bestFit="1" customWidth="1"/>
    <col min="137" max="137" width="23.28515625" bestFit="1" customWidth="1"/>
    <col min="138" max="138" width="24.42578125" bestFit="1" customWidth="1"/>
    <col min="139" max="139" width="6.28515625" bestFit="1" customWidth="1"/>
    <col min="140" max="140" width="22.140625" bestFit="1" customWidth="1"/>
    <col min="141" max="141" width="24.42578125" bestFit="1" customWidth="1"/>
    <col min="142" max="142" width="6.28515625" bestFit="1" customWidth="1"/>
    <col min="143" max="143" width="22.140625" bestFit="1" customWidth="1"/>
    <col min="144" max="144" width="24.42578125" bestFit="1" customWidth="1"/>
    <col min="145" max="145" width="6.28515625" bestFit="1" customWidth="1"/>
    <col min="146" max="146" width="22.140625" bestFit="1" customWidth="1"/>
    <col min="147" max="147" width="24.42578125" bestFit="1" customWidth="1"/>
    <col min="148" max="148" width="6.28515625" bestFit="1" customWidth="1"/>
    <col min="149" max="149" width="22.140625" bestFit="1" customWidth="1"/>
    <col min="150" max="150" width="28.7109375" bestFit="1" customWidth="1"/>
    <col min="151" max="151" width="27.140625" bestFit="1" customWidth="1"/>
    <col min="152" max="152" width="27" bestFit="1" customWidth="1"/>
    <col min="153" max="153" width="23.28515625" bestFit="1" customWidth="1"/>
    <col min="154" max="154" width="17.85546875" bestFit="1" customWidth="1"/>
    <col min="155" max="155" width="14.28515625" bestFit="1" customWidth="1"/>
    <col min="156" max="156" width="16" bestFit="1" customWidth="1"/>
    <col min="157" max="157" width="24.42578125" bestFit="1" customWidth="1"/>
    <col min="158" max="158" width="15.140625" bestFit="1" customWidth="1"/>
    <col min="159" max="159" width="23.7109375" bestFit="1" customWidth="1"/>
    <col min="160" max="160" width="8.85546875" bestFit="1" customWidth="1"/>
    <col min="161" max="161" width="17.140625" bestFit="1" customWidth="1"/>
    <col min="162" max="162" width="8" bestFit="1" customWidth="1"/>
    <col min="163" max="163" width="8.140625" bestFit="1" customWidth="1"/>
    <col min="164" max="164" width="16.42578125" bestFit="1" customWidth="1"/>
    <col min="165" max="165" width="14.140625" bestFit="1" customWidth="1"/>
    <col min="166" max="166" width="14.28515625" bestFit="1" customWidth="1"/>
    <col min="167" max="167" width="16" bestFit="1" customWidth="1"/>
    <col min="168" max="168" width="24.42578125" bestFit="1" customWidth="1"/>
    <col min="169" max="169" width="15.140625" bestFit="1" customWidth="1"/>
    <col min="170" max="170" width="23.7109375" bestFit="1" customWidth="1"/>
    <col min="171" max="171" width="8.85546875" bestFit="1" customWidth="1"/>
    <col min="172" max="172" width="17.140625" bestFit="1" customWidth="1"/>
    <col min="173" max="173" width="8" bestFit="1" customWidth="1"/>
    <col min="174" max="174" width="8.140625" bestFit="1" customWidth="1"/>
    <col min="175" max="175" width="16.42578125" bestFit="1" customWidth="1"/>
    <col min="176" max="176" width="14" bestFit="1" customWidth="1"/>
    <col min="177" max="177" width="14.28515625" bestFit="1" customWidth="1"/>
    <col min="178" max="178" width="16" bestFit="1" customWidth="1"/>
    <col min="179" max="179" width="24.42578125" bestFit="1" customWidth="1"/>
    <col min="180" max="180" width="15.140625" bestFit="1" customWidth="1"/>
    <col min="181" max="181" width="23.7109375" bestFit="1" customWidth="1"/>
    <col min="182" max="182" width="8.85546875" bestFit="1" customWidth="1"/>
    <col min="183" max="183" width="17.140625" bestFit="1" customWidth="1"/>
    <col min="184" max="184" width="8" bestFit="1" customWidth="1"/>
    <col min="185" max="185" width="8.140625" bestFit="1" customWidth="1"/>
    <col min="186" max="186" width="16.42578125" bestFit="1" customWidth="1"/>
    <col min="187" max="187" width="10.28515625" bestFit="1" customWidth="1"/>
    <col min="188" max="188" width="14.28515625" bestFit="1" customWidth="1"/>
    <col min="189" max="189" width="16" bestFit="1" customWidth="1"/>
    <col min="190" max="190" width="24.42578125" bestFit="1" customWidth="1"/>
    <col min="191" max="191" width="15.140625" bestFit="1" customWidth="1"/>
    <col min="192" max="192" width="23.7109375" bestFit="1" customWidth="1"/>
    <col min="193" max="193" width="8.85546875" bestFit="1" customWidth="1"/>
    <col min="194" max="194" width="17.140625" bestFit="1" customWidth="1"/>
    <col min="195" max="195" width="8" bestFit="1" customWidth="1"/>
    <col min="196" max="196" width="8.140625" bestFit="1" customWidth="1"/>
    <col min="197" max="197" width="16.42578125" bestFit="1" customWidth="1"/>
    <col min="198" max="198" width="31.140625" bestFit="1" customWidth="1"/>
    <col min="199" max="199" width="29.42578125" bestFit="1" customWidth="1"/>
    <col min="200" max="200" width="29.28515625" bestFit="1" customWidth="1"/>
    <col min="201" max="201" width="25.85546875" bestFit="1" customWidth="1"/>
    <col min="202" max="202" width="15.7109375" bestFit="1" customWidth="1"/>
    <col min="203" max="203" width="15.28515625" bestFit="1" customWidth="1"/>
    <col min="204" max="204" width="6" bestFit="1" customWidth="1"/>
    <col min="205" max="205" width="14.28515625" bestFit="1" customWidth="1"/>
    <col min="206" max="206" width="16" bestFit="1" customWidth="1"/>
    <col min="207" max="207" width="24.42578125" bestFit="1" customWidth="1"/>
    <col min="208" max="208" width="9.7109375" bestFit="1" customWidth="1"/>
    <col min="209" max="209" width="15.140625" bestFit="1" customWidth="1"/>
    <col min="210" max="210" width="23.7109375" bestFit="1" customWidth="1"/>
    <col min="211" max="211" width="8.85546875" bestFit="1" customWidth="1"/>
    <col min="212" max="212" width="17.140625" bestFit="1" customWidth="1"/>
    <col min="213" max="213" width="8.42578125" bestFit="1" customWidth="1"/>
    <col min="214" max="214" width="7.28515625" bestFit="1" customWidth="1"/>
    <col min="215" max="215" width="14.140625" bestFit="1" customWidth="1"/>
    <col min="216" max="216" width="15.28515625" bestFit="1" customWidth="1"/>
    <col min="217" max="217" width="6" bestFit="1" customWidth="1"/>
    <col min="218" max="218" width="14.28515625" bestFit="1" customWidth="1"/>
    <col min="219" max="219" width="16" bestFit="1" customWidth="1"/>
    <col min="220" max="220" width="24.42578125" bestFit="1" customWidth="1"/>
    <col min="221" max="221" width="9.7109375" bestFit="1" customWidth="1"/>
    <col min="222" max="222" width="15.140625" bestFit="1" customWidth="1"/>
    <col min="223" max="223" width="23.7109375" bestFit="1" customWidth="1"/>
    <col min="224" max="224" width="8.85546875" bestFit="1" customWidth="1"/>
    <col min="225" max="225" width="17.140625" bestFit="1" customWidth="1"/>
    <col min="226" max="226" width="8.42578125" bestFit="1" customWidth="1"/>
    <col min="227" max="227" width="7.28515625" bestFit="1" customWidth="1"/>
    <col min="228" max="228" width="14" bestFit="1" customWidth="1"/>
    <col min="229" max="229" width="15.28515625" bestFit="1" customWidth="1"/>
    <col min="230" max="230" width="6" bestFit="1" customWidth="1"/>
    <col min="231" max="231" width="14.28515625" bestFit="1" customWidth="1"/>
    <col min="232" max="232" width="16" bestFit="1" customWidth="1"/>
    <col min="233" max="233" width="24.42578125" bestFit="1" customWidth="1"/>
    <col min="234" max="234" width="9.7109375" bestFit="1" customWidth="1"/>
    <col min="235" max="235" width="15.140625" bestFit="1" customWidth="1"/>
    <col min="236" max="236" width="23.7109375" bestFit="1" customWidth="1"/>
    <col min="237" max="237" width="8.85546875" bestFit="1" customWidth="1"/>
    <col min="238" max="238" width="17.140625" bestFit="1" customWidth="1"/>
    <col min="239" max="239" width="8.42578125" bestFit="1" customWidth="1"/>
    <col min="240" max="240" width="7.28515625" bestFit="1" customWidth="1"/>
    <col min="241" max="241" width="10.28515625" bestFit="1" customWidth="1"/>
    <col min="242" max="242" width="15.28515625" bestFit="1" customWidth="1"/>
    <col min="243" max="243" width="6" bestFit="1" customWidth="1"/>
    <col min="244" max="244" width="14.28515625" bestFit="1" customWidth="1"/>
    <col min="245" max="245" width="16" bestFit="1" customWidth="1"/>
    <col min="246" max="246" width="24.42578125" bestFit="1" customWidth="1"/>
    <col min="247" max="247" width="9.7109375" bestFit="1" customWidth="1"/>
    <col min="248" max="248" width="15.140625" bestFit="1" customWidth="1"/>
    <col min="249" max="249" width="23.7109375" bestFit="1" customWidth="1"/>
    <col min="250" max="250" width="8.85546875" bestFit="1" customWidth="1"/>
    <col min="251" max="251" width="17.140625" bestFit="1" customWidth="1"/>
    <col min="252" max="252" width="8.42578125" bestFit="1" customWidth="1"/>
    <col min="253" max="253" width="7.28515625" bestFit="1" customWidth="1"/>
    <col min="254" max="254" width="27.42578125" bestFit="1" customWidth="1"/>
    <col min="255" max="255" width="26" bestFit="1" customWidth="1"/>
    <col min="256" max="256" width="25.85546875" bestFit="1" customWidth="1"/>
    <col min="257" max="257" width="22.140625" bestFit="1" customWidth="1"/>
    <col min="258" max="258" width="16.7109375" bestFit="1" customWidth="1"/>
    <col min="259" max="259" width="15.28515625" bestFit="1" customWidth="1"/>
    <col min="260" max="260" width="6" bestFit="1" customWidth="1"/>
    <col min="261" max="261" width="14.28515625" bestFit="1" customWidth="1"/>
    <col min="262" max="262" width="16" bestFit="1" customWidth="1"/>
    <col min="263" max="263" width="24.42578125" bestFit="1" customWidth="1"/>
    <col min="264" max="264" width="9.7109375" bestFit="1" customWidth="1"/>
    <col min="265" max="265" width="15.140625" bestFit="1" customWidth="1"/>
    <col min="266" max="266" width="23.7109375" bestFit="1" customWidth="1"/>
    <col min="267" max="267" width="8.85546875" bestFit="1" customWidth="1"/>
    <col min="268" max="268" width="17.140625" bestFit="1" customWidth="1"/>
    <col min="269" max="269" width="8.140625" bestFit="1" customWidth="1"/>
    <col min="270" max="270" width="16.42578125" bestFit="1" customWidth="1"/>
    <col min="271" max="271" width="8.42578125" bestFit="1" customWidth="1"/>
    <col min="272" max="272" width="14.140625" bestFit="1" customWidth="1"/>
    <col min="273" max="273" width="15.28515625" bestFit="1" customWidth="1"/>
    <col min="274" max="274" width="6" bestFit="1" customWidth="1"/>
    <col min="275" max="275" width="14.28515625" bestFit="1" customWidth="1"/>
    <col min="276" max="276" width="16" bestFit="1" customWidth="1"/>
    <col min="277" max="277" width="24.42578125" bestFit="1" customWidth="1"/>
    <col min="278" max="278" width="9.7109375" bestFit="1" customWidth="1"/>
    <col min="279" max="279" width="15.140625" bestFit="1" customWidth="1"/>
    <col min="280" max="280" width="23.7109375" bestFit="1" customWidth="1"/>
    <col min="281" max="281" width="8.85546875" bestFit="1" customWidth="1"/>
    <col min="282" max="282" width="17.140625" bestFit="1" customWidth="1"/>
    <col min="283" max="283" width="8.140625" bestFit="1" customWidth="1"/>
    <col min="284" max="284" width="16.42578125" bestFit="1" customWidth="1"/>
    <col min="285" max="285" width="8.42578125" bestFit="1" customWidth="1"/>
    <col min="286" max="286" width="14" bestFit="1" customWidth="1"/>
    <col min="287" max="287" width="15.28515625" bestFit="1" customWidth="1"/>
    <col min="288" max="288" width="6" bestFit="1" customWidth="1"/>
    <col min="289" max="289" width="14.28515625" bestFit="1" customWidth="1"/>
    <col min="290" max="290" width="16" bestFit="1" customWidth="1"/>
    <col min="291" max="291" width="24.42578125" bestFit="1" customWidth="1"/>
    <col min="292" max="292" width="9.7109375" bestFit="1" customWidth="1"/>
    <col min="293" max="293" width="15.140625" bestFit="1" customWidth="1"/>
    <col min="294" max="294" width="23.7109375" bestFit="1" customWidth="1"/>
    <col min="295" max="295" width="8.85546875" bestFit="1" customWidth="1"/>
    <col min="296" max="296" width="17.140625" bestFit="1" customWidth="1"/>
    <col min="297" max="297" width="8.140625" bestFit="1" customWidth="1"/>
    <col min="298" max="298" width="16.42578125" bestFit="1" customWidth="1"/>
    <col min="299" max="299" width="8.42578125" bestFit="1" customWidth="1"/>
    <col min="300" max="300" width="10.28515625" bestFit="1" customWidth="1"/>
    <col min="301" max="301" width="15.28515625" bestFit="1" customWidth="1"/>
    <col min="302" max="302" width="6" bestFit="1" customWidth="1"/>
    <col min="303" max="303" width="14.28515625" bestFit="1" customWidth="1"/>
    <col min="304" max="304" width="16" bestFit="1" customWidth="1"/>
    <col min="305" max="305" width="24.42578125" bestFit="1" customWidth="1"/>
    <col min="306" max="306" width="9.7109375" bestFit="1" customWidth="1"/>
    <col min="307" max="307" width="15.140625" bestFit="1" customWidth="1"/>
    <col min="308" max="308" width="23.7109375" bestFit="1" customWidth="1"/>
    <col min="309" max="309" width="8.85546875" bestFit="1" customWidth="1"/>
    <col min="310" max="310" width="17.140625" bestFit="1" customWidth="1"/>
    <col min="311" max="311" width="8.140625" bestFit="1" customWidth="1"/>
    <col min="312" max="312" width="16.42578125" bestFit="1" customWidth="1"/>
    <col min="313" max="313" width="8.42578125" bestFit="1" customWidth="1"/>
    <col min="314" max="314" width="30" bestFit="1" customWidth="1"/>
    <col min="315" max="315" width="28.28515625" bestFit="1" customWidth="1"/>
    <col min="316" max="316" width="28.140625" bestFit="1" customWidth="1"/>
    <col min="317" max="317" width="24.42578125" bestFit="1" customWidth="1"/>
    <col min="318" max="318" width="15.7109375" bestFit="1" customWidth="1"/>
    <col min="319" max="319" width="15.28515625" bestFit="1" customWidth="1"/>
    <col min="320" max="320" width="6" bestFit="1" customWidth="1"/>
    <col min="321" max="321" width="14.28515625" bestFit="1" customWidth="1"/>
    <col min="322" max="322" width="16" bestFit="1" customWidth="1"/>
    <col min="323" max="323" width="24.42578125" bestFit="1" customWidth="1"/>
    <col min="324" max="324" width="9.7109375" bestFit="1" customWidth="1"/>
    <col min="325" max="325" width="15.140625" bestFit="1" customWidth="1"/>
    <col min="326" max="326" width="23.7109375" bestFit="1" customWidth="1"/>
    <col min="327" max="327" width="8.85546875" bestFit="1" customWidth="1"/>
    <col min="328" max="328" width="17.140625" bestFit="1" customWidth="1"/>
    <col min="329" max="329" width="8.140625" bestFit="1" customWidth="1"/>
    <col min="330" max="330" width="16.42578125" bestFit="1" customWidth="1"/>
    <col min="331" max="331" width="8.42578125" bestFit="1" customWidth="1"/>
    <col min="332" max="332" width="7.28515625" bestFit="1" customWidth="1"/>
    <col min="333" max="333" width="9.42578125" bestFit="1" customWidth="1"/>
    <col min="334" max="334" width="18" bestFit="1" customWidth="1"/>
    <col min="335" max="335" width="14.140625" bestFit="1" customWidth="1"/>
    <col min="336" max="336" width="15.28515625" bestFit="1" customWidth="1"/>
    <col min="337" max="337" width="6" bestFit="1" customWidth="1"/>
    <col min="338" max="338" width="14.28515625" bestFit="1" customWidth="1"/>
    <col min="339" max="339" width="16" bestFit="1" customWidth="1"/>
    <col min="340" max="340" width="24.42578125" bestFit="1" customWidth="1"/>
    <col min="341" max="341" width="9.7109375" bestFit="1" customWidth="1"/>
    <col min="342" max="342" width="15.140625" bestFit="1" customWidth="1"/>
    <col min="343" max="343" width="23.7109375" bestFit="1" customWidth="1"/>
    <col min="344" max="344" width="8.85546875" bestFit="1" customWidth="1"/>
    <col min="345" max="345" width="17.140625" bestFit="1" customWidth="1"/>
    <col min="346" max="346" width="8.140625" bestFit="1" customWidth="1"/>
    <col min="347" max="347" width="16.42578125" bestFit="1" customWidth="1"/>
    <col min="348" max="348" width="8.42578125" bestFit="1" customWidth="1"/>
    <col min="349" max="349" width="7.28515625" bestFit="1" customWidth="1"/>
    <col min="350" max="350" width="9.42578125" bestFit="1" customWidth="1"/>
    <col min="351" max="351" width="18" bestFit="1" customWidth="1"/>
    <col min="352" max="352" width="14" bestFit="1" customWidth="1"/>
    <col min="353" max="353" width="15.28515625" bestFit="1" customWidth="1"/>
    <col min="354" max="354" width="6" bestFit="1" customWidth="1"/>
    <col min="355" max="355" width="14.28515625" bestFit="1" customWidth="1"/>
    <col min="356" max="356" width="16" bestFit="1" customWidth="1"/>
    <col min="357" max="357" width="24.42578125" bestFit="1" customWidth="1"/>
    <col min="358" max="358" width="9.7109375" bestFit="1" customWidth="1"/>
    <col min="359" max="359" width="15.140625" bestFit="1" customWidth="1"/>
    <col min="360" max="360" width="23.7109375" bestFit="1" customWidth="1"/>
    <col min="361" max="361" width="8.85546875" bestFit="1" customWidth="1"/>
    <col min="362" max="362" width="17.140625" bestFit="1" customWidth="1"/>
    <col min="363" max="363" width="8.140625" bestFit="1" customWidth="1"/>
    <col min="364" max="364" width="16.42578125" bestFit="1" customWidth="1"/>
    <col min="365" max="365" width="8.42578125" bestFit="1" customWidth="1"/>
    <col min="366" max="366" width="7.28515625" bestFit="1" customWidth="1"/>
    <col min="367" max="367" width="9.42578125" bestFit="1" customWidth="1"/>
    <col min="368" max="368" width="18" bestFit="1" customWidth="1"/>
    <col min="369" max="369" width="10.28515625" bestFit="1" customWidth="1"/>
    <col min="370" max="370" width="15.28515625" bestFit="1" customWidth="1"/>
    <col min="371" max="371" width="6" bestFit="1" customWidth="1"/>
    <col min="372" max="372" width="14.28515625" bestFit="1" customWidth="1"/>
    <col min="373" max="373" width="16" bestFit="1" customWidth="1"/>
    <col min="374" max="374" width="24.42578125" bestFit="1" customWidth="1"/>
    <col min="375" max="375" width="9.7109375" bestFit="1" customWidth="1"/>
    <col min="376" max="376" width="15.140625" bestFit="1" customWidth="1"/>
    <col min="377" max="377" width="23.7109375" bestFit="1" customWidth="1"/>
    <col min="378" max="378" width="8.85546875" bestFit="1" customWidth="1"/>
    <col min="379" max="379" width="17.140625" bestFit="1" customWidth="1"/>
    <col min="380" max="380" width="8.140625" bestFit="1" customWidth="1"/>
    <col min="381" max="381" width="16.42578125" bestFit="1" customWidth="1"/>
    <col min="382" max="382" width="8.42578125" bestFit="1" customWidth="1"/>
    <col min="383" max="383" width="7.28515625" bestFit="1" customWidth="1"/>
    <col min="384" max="384" width="9.42578125" bestFit="1" customWidth="1"/>
    <col min="385" max="385" width="18" bestFit="1" customWidth="1"/>
    <col min="386" max="386" width="27.42578125" bestFit="1" customWidth="1"/>
    <col min="387" max="387" width="26" bestFit="1" customWidth="1"/>
    <col min="388" max="388" width="25.85546875" bestFit="1" customWidth="1"/>
    <col min="389" max="389" width="22.140625" bestFit="1" customWidth="1"/>
    <col min="390" max="390" width="15.7109375" bestFit="1" customWidth="1"/>
    <col min="391" max="391" width="15.28515625" bestFit="1" customWidth="1"/>
    <col min="392" max="392" width="6" bestFit="1" customWidth="1"/>
    <col min="393" max="393" width="14.28515625" bestFit="1" customWidth="1"/>
    <col min="394" max="394" width="16" bestFit="1" customWidth="1"/>
    <col min="395" max="395" width="24.42578125" bestFit="1" customWidth="1"/>
    <col min="396" max="396" width="9.7109375" bestFit="1" customWidth="1"/>
    <col min="397" max="397" width="15.140625" bestFit="1" customWidth="1"/>
    <col min="398" max="398" width="23.7109375" bestFit="1" customWidth="1"/>
    <col min="399" max="399" width="8.85546875" bestFit="1" customWidth="1"/>
    <col min="400" max="400" width="17.140625" bestFit="1" customWidth="1"/>
    <col min="401" max="401" width="8" bestFit="1" customWidth="1"/>
    <col min="402" max="402" width="22.140625" bestFit="1" customWidth="1"/>
    <col min="403" max="403" width="8.140625" bestFit="1" customWidth="1"/>
    <col min="404" max="404" width="16.42578125" bestFit="1" customWidth="1"/>
    <col min="405" max="405" width="8.42578125" bestFit="1" customWidth="1"/>
    <col min="406" max="406" width="7.28515625" bestFit="1" customWidth="1"/>
    <col min="407" max="407" width="9.42578125" bestFit="1" customWidth="1"/>
    <col min="408" max="408" width="18" bestFit="1" customWidth="1"/>
    <col min="409" max="409" width="13.7109375" bestFit="1" customWidth="1"/>
    <col min="410" max="410" width="14.140625" bestFit="1" customWidth="1"/>
    <col min="411" max="411" width="15.28515625" bestFit="1" customWidth="1"/>
    <col min="412" max="412" width="6" bestFit="1" customWidth="1"/>
    <col min="413" max="413" width="14.28515625" bestFit="1" customWidth="1"/>
    <col min="414" max="414" width="16" bestFit="1" customWidth="1"/>
    <col min="415" max="415" width="24.42578125" bestFit="1" customWidth="1"/>
    <col min="416" max="416" width="9.7109375" bestFit="1" customWidth="1"/>
    <col min="417" max="417" width="15.140625" bestFit="1" customWidth="1"/>
    <col min="418" max="418" width="23.7109375" bestFit="1" customWidth="1"/>
    <col min="419" max="419" width="8.85546875" bestFit="1" customWidth="1"/>
    <col min="420" max="420" width="17.140625" bestFit="1" customWidth="1"/>
    <col min="421" max="421" width="8" bestFit="1" customWidth="1"/>
    <col min="422" max="422" width="22.140625" bestFit="1" customWidth="1"/>
    <col min="423" max="423" width="8.140625" bestFit="1" customWidth="1"/>
    <col min="424" max="424" width="16.42578125" bestFit="1" customWidth="1"/>
    <col min="425" max="425" width="8.42578125" bestFit="1" customWidth="1"/>
    <col min="426" max="426" width="7.28515625" bestFit="1" customWidth="1"/>
    <col min="427" max="427" width="9.42578125" bestFit="1" customWidth="1"/>
    <col min="428" max="428" width="18" bestFit="1" customWidth="1"/>
    <col min="429" max="429" width="13.7109375" bestFit="1" customWidth="1"/>
    <col min="430" max="430" width="14" bestFit="1" customWidth="1"/>
    <col min="431" max="431" width="15.28515625" bestFit="1" customWidth="1"/>
    <col min="432" max="432" width="6" bestFit="1" customWidth="1"/>
    <col min="433" max="433" width="14.28515625" bestFit="1" customWidth="1"/>
    <col min="434" max="434" width="16" bestFit="1" customWidth="1"/>
    <col min="435" max="435" width="24.42578125" bestFit="1" customWidth="1"/>
    <col min="436" max="436" width="9.7109375" bestFit="1" customWidth="1"/>
    <col min="437" max="437" width="15.140625" bestFit="1" customWidth="1"/>
    <col min="438" max="438" width="23.7109375" bestFit="1" customWidth="1"/>
    <col min="439" max="439" width="8.85546875" bestFit="1" customWidth="1"/>
    <col min="440" max="440" width="17.140625" bestFit="1" customWidth="1"/>
    <col min="441" max="441" width="8" bestFit="1" customWidth="1"/>
    <col min="442" max="442" width="22.140625" bestFit="1" customWidth="1"/>
    <col min="443" max="443" width="8.140625" bestFit="1" customWidth="1"/>
    <col min="444" max="444" width="16.42578125" bestFit="1" customWidth="1"/>
    <col min="445" max="445" width="8.42578125" bestFit="1" customWidth="1"/>
    <col min="446" max="446" width="7.28515625" bestFit="1" customWidth="1"/>
    <col min="447" max="447" width="9.42578125" bestFit="1" customWidth="1"/>
    <col min="448" max="448" width="18" bestFit="1" customWidth="1"/>
    <col min="449" max="449" width="13.7109375" bestFit="1" customWidth="1"/>
    <col min="450" max="450" width="10.28515625" bestFit="1" customWidth="1"/>
    <col min="451" max="451" width="15.28515625" bestFit="1" customWidth="1"/>
    <col min="452" max="452" width="6" bestFit="1" customWidth="1"/>
    <col min="453" max="453" width="14.28515625" bestFit="1" customWidth="1"/>
    <col min="454" max="454" width="16" bestFit="1" customWidth="1"/>
    <col min="455" max="455" width="24.42578125" bestFit="1" customWidth="1"/>
    <col min="456" max="456" width="9.7109375" bestFit="1" customWidth="1"/>
    <col min="457" max="457" width="15.140625" bestFit="1" customWidth="1"/>
    <col min="458" max="458" width="23.7109375" bestFit="1" customWidth="1"/>
    <col min="459" max="459" width="8.85546875" bestFit="1" customWidth="1"/>
    <col min="460" max="460" width="17.140625" bestFit="1" customWidth="1"/>
    <col min="461" max="461" width="8" bestFit="1" customWidth="1"/>
    <col min="462" max="462" width="22.140625" bestFit="1" customWidth="1"/>
    <col min="463" max="463" width="8.140625" bestFit="1" customWidth="1"/>
    <col min="464" max="464" width="16.42578125" bestFit="1" customWidth="1"/>
    <col min="465" max="465" width="8.42578125" bestFit="1" customWidth="1"/>
    <col min="466" max="466" width="7.28515625" bestFit="1" customWidth="1"/>
    <col min="467" max="467" width="9.42578125" bestFit="1" customWidth="1"/>
    <col min="468" max="468" width="18" bestFit="1" customWidth="1"/>
    <col min="469" max="469" width="13.7109375" bestFit="1" customWidth="1"/>
    <col min="470" max="470" width="27.42578125" bestFit="1" customWidth="1"/>
    <col min="471" max="471" width="26" bestFit="1" customWidth="1"/>
    <col min="472" max="472" width="25.85546875" bestFit="1" customWidth="1"/>
    <col min="473" max="473" width="22.140625" bestFit="1" customWidth="1"/>
    <col min="474" max="474" width="31" bestFit="1" customWidth="1"/>
    <col min="475" max="475" width="35.7109375" bestFit="1" customWidth="1"/>
    <col min="476" max="476" width="31.28515625" bestFit="1" customWidth="1"/>
    <col min="477" max="477" width="14.140625" bestFit="1" customWidth="1"/>
    <col min="478" max="478" width="12.28515625" bestFit="1" customWidth="1"/>
    <col min="479" max="479" width="14.85546875" bestFit="1" customWidth="1"/>
    <col min="480" max="480" width="15.85546875" bestFit="1" customWidth="1"/>
    <col min="481" max="481" width="31" bestFit="1" customWidth="1"/>
    <col min="482" max="482" width="35.7109375" bestFit="1" customWidth="1"/>
    <col min="483" max="483" width="31.28515625" bestFit="1" customWidth="1"/>
    <col min="484" max="484" width="14.140625" bestFit="1" customWidth="1"/>
    <col min="485" max="485" width="12.28515625" bestFit="1" customWidth="1"/>
    <col min="486" max="486" width="14.85546875" bestFit="1" customWidth="1"/>
    <col min="487" max="487" width="15.85546875" bestFit="1" customWidth="1"/>
    <col min="488" max="488" width="31" bestFit="1" customWidth="1"/>
    <col min="489" max="489" width="35.7109375" bestFit="1" customWidth="1"/>
    <col min="490" max="490" width="31.28515625" bestFit="1" customWidth="1"/>
    <col min="491" max="491" width="14.140625" bestFit="1" customWidth="1"/>
    <col min="492" max="492" width="12.28515625" bestFit="1" customWidth="1"/>
    <col min="493" max="493" width="14.85546875" bestFit="1" customWidth="1"/>
    <col min="494" max="494" width="15.85546875" bestFit="1" customWidth="1"/>
    <col min="495" max="495" width="31" bestFit="1" customWidth="1"/>
    <col min="496" max="496" width="35.7109375" bestFit="1" customWidth="1"/>
    <col min="497" max="497" width="31.28515625" bestFit="1" customWidth="1"/>
    <col min="498" max="498" width="14.140625" bestFit="1" customWidth="1"/>
    <col min="499" max="499" width="12.28515625" bestFit="1" customWidth="1"/>
    <col min="500" max="500" width="14.85546875" bestFit="1" customWidth="1"/>
    <col min="501" max="501" width="15.85546875" bestFit="1" customWidth="1"/>
    <col min="502" max="502" width="27.85546875" bestFit="1" customWidth="1"/>
    <col min="503" max="503" width="26.28515625" bestFit="1" customWidth="1"/>
    <col min="504" max="504" width="26.140625" bestFit="1" customWidth="1"/>
    <col min="505" max="505" width="22.42578125" bestFit="1" customWidth="1"/>
    <col min="506" max="506" width="31" bestFit="1" customWidth="1"/>
    <col min="507" max="507" width="35.7109375" bestFit="1" customWidth="1"/>
    <col min="508" max="508" width="31.28515625" bestFit="1" customWidth="1"/>
    <col min="509" max="509" width="14.140625" bestFit="1" customWidth="1"/>
    <col min="510" max="510" width="12.28515625" bestFit="1" customWidth="1"/>
    <col min="511" max="511" width="14.85546875" bestFit="1" customWidth="1"/>
    <col min="512" max="512" width="15.85546875" bestFit="1" customWidth="1"/>
    <col min="513" max="513" width="31" bestFit="1" customWidth="1"/>
    <col min="514" max="514" width="35.7109375" bestFit="1" customWidth="1"/>
    <col min="515" max="515" width="31.28515625" bestFit="1" customWidth="1"/>
    <col min="516" max="516" width="14.140625" bestFit="1" customWidth="1"/>
    <col min="517" max="517" width="12.28515625" bestFit="1" customWidth="1"/>
    <col min="518" max="518" width="14.85546875" bestFit="1" customWidth="1"/>
    <col min="519" max="519" width="15.85546875" bestFit="1" customWidth="1"/>
    <col min="520" max="520" width="31" bestFit="1" customWidth="1"/>
    <col min="521" max="521" width="35.7109375" bestFit="1" customWidth="1"/>
    <col min="522" max="522" width="31.28515625" bestFit="1" customWidth="1"/>
    <col min="523" max="523" width="14.140625" bestFit="1" customWidth="1"/>
    <col min="524" max="524" width="12.28515625" bestFit="1" customWidth="1"/>
    <col min="525" max="525" width="14.85546875" bestFit="1" customWidth="1"/>
    <col min="526" max="526" width="15.85546875" bestFit="1" customWidth="1"/>
    <col min="527" max="527" width="31" bestFit="1" customWidth="1"/>
    <col min="528" max="528" width="35.7109375" bestFit="1" customWidth="1"/>
    <col min="529" max="529" width="31.28515625" bestFit="1" customWidth="1"/>
    <col min="530" max="530" width="14.140625" bestFit="1" customWidth="1"/>
    <col min="531" max="531" width="12.28515625" bestFit="1" customWidth="1"/>
    <col min="532" max="532" width="14.85546875" bestFit="1" customWidth="1"/>
    <col min="533" max="533" width="15.85546875" bestFit="1" customWidth="1"/>
    <col min="534" max="534" width="30.28515625" bestFit="1" customWidth="1"/>
    <col min="535" max="535" width="28.7109375" bestFit="1" customWidth="1"/>
    <col min="536" max="536" width="28.42578125" bestFit="1" customWidth="1"/>
    <col min="537" max="537" width="24.85546875" bestFit="1" customWidth="1"/>
    <col min="538" max="538" width="31" bestFit="1" customWidth="1"/>
    <col min="539" max="539" width="35.7109375" bestFit="1" customWidth="1"/>
    <col min="540" max="540" width="31.28515625" bestFit="1" customWidth="1"/>
    <col min="541" max="541" width="14.140625" bestFit="1" customWidth="1"/>
    <col min="542" max="542" width="12.28515625" bestFit="1" customWidth="1"/>
    <col min="543" max="543" width="14.85546875" bestFit="1" customWidth="1"/>
    <col min="544" max="544" width="15.85546875" bestFit="1" customWidth="1"/>
    <col min="545" max="545" width="31" bestFit="1" customWidth="1"/>
    <col min="546" max="546" width="35.7109375" bestFit="1" customWidth="1"/>
    <col min="547" max="547" width="31.28515625" bestFit="1" customWidth="1"/>
    <col min="548" max="548" width="14.140625" bestFit="1" customWidth="1"/>
    <col min="549" max="549" width="12.28515625" bestFit="1" customWidth="1"/>
    <col min="550" max="550" width="14.85546875" bestFit="1" customWidth="1"/>
    <col min="551" max="551" width="15.85546875" bestFit="1" customWidth="1"/>
    <col min="552" max="552" width="31" bestFit="1" customWidth="1"/>
    <col min="553" max="553" width="35.7109375" bestFit="1" customWidth="1"/>
    <col min="554" max="554" width="31.28515625" bestFit="1" customWidth="1"/>
    <col min="555" max="555" width="14.140625" bestFit="1" customWidth="1"/>
    <col min="556" max="556" width="12.28515625" bestFit="1" customWidth="1"/>
    <col min="557" max="557" width="14.85546875" bestFit="1" customWidth="1"/>
    <col min="558" max="558" width="15.85546875" bestFit="1" customWidth="1"/>
    <col min="559" max="559" width="31" bestFit="1" customWidth="1"/>
    <col min="560" max="560" width="35.7109375" bestFit="1" customWidth="1"/>
    <col min="561" max="561" width="31.28515625" bestFit="1" customWidth="1"/>
    <col min="562" max="562" width="14.140625" bestFit="1" customWidth="1"/>
    <col min="563" max="563" width="12.28515625" bestFit="1" customWidth="1"/>
    <col min="564" max="564" width="14.85546875" bestFit="1" customWidth="1"/>
    <col min="565" max="565" width="15.85546875" bestFit="1" customWidth="1"/>
    <col min="566" max="566" width="27.85546875" bestFit="1" customWidth="1"/>
    <col min="567" max="567" width="26.28515625" bestFit="1" customWidth="1"/>
    <col min="568" max="568" width="26.140625" bestFit="1" customWidth="1"/>
    <col min="569" max="569" width="22.42578125" bestFit="1" customWidth="1"/>
    <col min="570" max="570" width="31" bestFit="1" customWidth="1"/>
    <col min="571" max="571" width="35.7109375" bestFit="1" customWidth="1"/>
    <col min="572" max="572" width="31.28515625" bestFit="1" customWidth="1"/>
    <col min="573" max="573" width="14.140625" bestFit="1" customWidth="1"/>
    <col min="574" max="574" width="12.28515625" bestFit="1" customWidth="1"/>
    <col min="575" max="575" width="14.85546875" bestFit="1" customWidth="1"/>
    <col min="576" max="576" width="15.85546875" bestFit="1" customWidth="1"/>
    <col min="577" max="577" width="19" bestFit="1" customWidth="1"/>
    <col min="578" max="578" width="19.28515625" bestFit="1" customWidth="1"/>
    <col min="579" max="579" width="13.85546875" bestFit="1" customWidth="1"/>
    <col min="580" max="580" width="31" bestFit="1" customWidth="1"/>
    <col min="581" max="581" width="35.7109375" bestFit="1" customWidth="1"/>
    <col min="582" max="582" width="31.28515625" bestFit="1" customWidth="1"/>
    <col min="583" max="583" width="14.140625" bestFit="1" customWidth="1"/>
    <col min="584" max="584" width="12.28515625" bestFit="1" customWidth="1"/>
    <col min="585" max="585" width="14.85546875" bestFit="1" customWidth="1"/>
    <col min="586" max="586" width="15.85546875" bestFit="1" customWidth="1"/>
    <col min="587" max="587" width="19" bestFit="1" customWidth="1"/>
    <col min="588" max="588" width="19.28515625" bestFit="1" customWidth="1"/>
    <col min="589" max="589" width="13.85546875" bestFit="1" customWidth="1"/>
    <col min="590" max="590" width="31" bestFit="1" customWidth="1"/>
    <col min="591" max="591" width="35.7109375" bestFit="1" customWidth="1"/>
    <col min="592" max="592" width="31.28515625" bestFit="1" customWidth="1"/>
    <col min="593" max="593" width="14.140625" bestFit="1" customWidth="1"/>
    <col min="594" max="594" width="12.28515625" bestFit="1" customWidth="1"/>
    <col min="595" max="595" width="14.85546875" bestFit="1" customWidth="1"/>
    <col min="596" max="596" width="15.85546875" bestFit="1" customWidth="1"/>
    <col min="597" max="597" width="19" bestFit="1" customWidth="1"/>
    <col min="598" max="598" width="19.28515625" bestFit="1" customWidth="1"/>
    <col min="599" max="599" width="13.85546875" bestFit="1" customWidth="1"/>
    <col min="600" max="600" width="31" bestFit="1" customWidth="1"/>
    <col min="601" max="601" width="35.7109375" bestFit="1" customWidth="1"/>
    <col min="602" max="602" width="31.28515625" bestFit="1" customWidth="1"/>
    <col min="603" max="603" width="14.140625" bestFit="1" customWidth="1"/>
    <col min="604" max="604" width="12.28515625" bestFit="1" customWidth="1"/>
    <col min="605" max="605" width="14.85546875" bestFit="1" customWidth="1"/>
    <col min="606" max="606" width="15.85546875" bestFit="1" customWidth="1"/>
    <col min="607" max="607" width="19" bestFit="1" customWidth="1"/>
    <col min="608" max="608" width="19.28515625" bestFit="1" customWidth="1"/>
    <col min="609" max="609" width="13.85546875" bestFit="1" customWidth="1"/>
    <col min="610" max="610" width="27.85546875" bestFit="1" customWidth="1"/>
    <col min="611" max="611" width="26.28515625" bestFit="1" customWidth="1"/>
    <col min="612" max="612" width="26.140625" bestFit="1" customWidth="1"/>
    <col min="613" max="613" width="22.42578125" bestFit="1" customWidth="1"/>
    <col min="614" max="614" width="31" bestFit="1" customWidth="1"/>
    <col min="615" max="615" width="35.7109375" bestFit="1" customWidth="1"/>
    <col min="616" max="616" width="31.28515625" bestFit="1" customWidth="1"/>
    <col min="617" max="617" width="14.140625" bestFit="1" customWidth="1"/>
    <col min="618" max="618" width="12.28515625" bestFit="1" customWidth="1"/>
    <col min="619" max="619" width="14.85546875" bestFit="1" customWidth="1"/>
    <col min="620" max="620" width="15.85546875" bestFit="1" customWidth="1"/>
    <col min="621" max="621" width="31" bestFit="1" customWidth="1"/>
    <col min="622" max="622" width="35.7109375" bestFit="1" customWidth="1"/>
    <col min="623" max="623" width="31.28515625" bestFit="1" customWidth="1"/>
    <col min="624" max="624" width="14.140625" bestFit="1" customWidth="1"/>
    <col min="625" max="625" width="12.28515625" bestFit="1" customWidth="1"/>
    <col min="626" max="626" width="14.85546875" bestFit="1" customWidth="1"/>
    <col min="627" max="627" width="15.85546875" bestFit="1" customWidth="1"/>
    <col min="628" max="628" width="31" bestFit="1" customWidth="1"/>
    <col min="629" max="629" width="35.7109375" bestFit="1" customWidth="1"/>
    <col min="630" max="630" width="31.28515625" bestFit="1" customWidth="1"/>
    <col min="631" max="631" width="14.140625" bestFit="1" customWidth="1"/>
    <col min="632" max="632" width="12.28515625" bestFit="1" customWidth="1"/>
    <col min="633" max="633" width="14.85546875" bestFit="1" customWidth="1"/>
    <col min="634" max="634" width="15.85546875" bestFit="1" customWidth="1"/>
    <col min="635" max="635" width="31" bestFit="1" customWidth="1"/>
    <col min="636" max="636" width="35.7109375" bestFit="1" customWidth="1"/>
    <col min="637" max="637" width="31.28515625" bestFit="1" customWidth="1"/>
    <col min="638" max="638" width="14.140625" bestFit="1" customWidth="1"/>
    <col min="639" max="639" width="12.28515625" bestFit="1" customWidth="1"/>
    <col min="640" max="640" width="14.85546875" bestFit="1" customWidth="1"/>
    <col min="641" max="641" width="15.85546875" bestFit="1" customWidth="1"/>
    <col min="642" max="642" width="27.85546875" bestFit="1" customWidth="1"/>
    <col min="643" max="643" width="26.28515625" bestFit="1" customWidth="1"/>
    <col min="644" max="644" width="26.140625" bestFit="1" customWidth="1"/>
    <col min="645" max="645" width="22.42578125" bestFit="1" customWidth="1"/>
    <col min="646" max="646" width="15.7109375" bestFit="1" customWidth="1"/>
    <col min="647" max="647" width="15.28515625" bestFit="1" customWidth="1"/>
    <col min="648" max="648" width="6" bestFit="1" customWidth="1"/>
    <col min="649" max="649" width="14.28515625" bestFit="1" customWidth="1"/>
    <col min="650" max="650" width="16" bestFit="1" customWidth="1"/>
    <col min="651" max="651" width="24.42578125" bestFit="1" customWidth="1"/>
    <col min="652" max="652" width="9.7109375" bestFit="1" customWidth="1"/>
    <col min="653" max="653" width="15.140625" bestFit="1" customWidth="1"/>
    <col min="654" max="654" width="23.7109375" bestFit="1" customWidth="1"/>
    <col min="655" max="655" width="8.85546875" bestFit="1" customWidth="1"/>
    <col min="656" max="656" width="17.140625" bestFit="1" customWidth="1"/>
    <col min="657" max="657" width="8.42578125" bestFit="1" customWidth="1"/>
    <col min="658" max="658" width="7.28515625" bestFit="1" customWidth="1"/>
    <col min="659" max="659" width="14.140625" bestFit="1" customWidth="1"/>
    <col min="660" max="660" width="15.28515625" bestFit="1" customWidth="1"/>
    <col min="661" max="661" width="6" bestFit="1" customWidth="1"/>
    <col min="662" max="662" width="14.28515625" bestFit="1" customWidth="1"/>
    <col min="663" max="663" width="16" bestFit="1" customWidth="1"/>
    <col min="664" max="664" width="24.42578125" bestFit="1" customWidth="1"/>
    <col min="665" max="665" width="9.7109375" bestFit="1" customWidth="1"/>
    <col min="666" max="666" width="15.140625" bestFit="1" customWidth="1"/>
    <col min="667" max="667" width="23.7109375" bestFit="1" customWidth="1"/>
    <col min="668" max="668" width="8.85546875" bestFit="1" customWidth="1"/>
    <col min="669" max="669" width="17.140625" bestFit="1" customWidth="1"/>
    <col min="670" max="670" width="8.42578125" bestFit="1" customWidth="1"/>
    <col min="671" max="671" width="7.28515625" bestFit="1" customWidth="1"/>
    <col min="672" max="672" width="14" bestFit="1" customWidth="1"/>
    <col min="673" max="673" width="15.28515625" bestFit="1" customWidth="1"/>
    <col min="674" max="674" width="6" bestFit="1" customWidth="1"/>
    <col min="675" max="675" width="14.28515625" bestFit="1" customWidth="1"/>
    <col min="676" max="676" width="16" bestFit="1" customWidth="1"/>
    <col min="677" max="677" width="24.42578125" bestFit="1" customWidth="1"/>
    <col min="678" max="678" width="9.7109375" bestFit="1" customWidth="1"/>
    <col min="679" max="679" width="15.140625" bestFit="1" customWidth="1"/>
    <col min="680" max="680" width="23.7109375" bestFit="1" customWidth="1"/>
    <col min="681" max="681" width="8.85546875" bestFit="1" customWidth="1"/>
    <col min="682" max="682" width="17.140625" bestFit="1" customWidth="1"/>
    <col min="683" max="683" width="8.42578125" bestFit="1" customWidth="1"/>
    <col min="684" max="684" width="7.28515625" bestFit="1" customWidth="1"/>
    <col min="685" max="685" width="10.28515625" bestFit="1" customWidth="1"/>
    <col min="686" max="686" width="15.28515625" bestFit="1" customWidth="1"/>
    <col min="687" max="687" width="6" bestFit="1" customWidth="1"/>
    <col min="688" max="688" width="14.28515625" bestFit="1" customWidth="1"/>
    <col min="689" max="689" width="16" bestFit="1" customWidth="1"/>
    <col min="690" max="690" width="24.42578125" bestFit="1" customWidth="1"/>
    <col min="691" max="691" width="9.7109375" bestFit="1" customWidth="1"/>
    <col min="692" max="692" width="15.140625" bestFit="1" customWidth="1"/>
    <col min="693" max="693" width="23.7109375" bestFit="1" customWidth="1"/>
    <col min="694" max="694" width="8.85546875" bestFit="1" customWidth="1"/>
    <col min="695" max="695" width="17.140625" bestFit="1" customWidth="1"/>
    <col min="696" max="696" width="8.42578125" bestFit="1" customWidth="1"/>
    <col min="697" max="697" width="7.28515625" bestFit="1" customWidth="1"/>
    <col min="698" max="698" width="27.42578125" bestFit="1" customWidth="1"/>
    <col min="699" max="699" width="26" bestFit="1" customWidth="1"/>
    <col min="700" max="700" width="25.85546875" bestFit="1" customWidth="1"/>
    <col min="701" max="701" width="22.140625" bestFit="1" customWidth="1"/>
    <col min="702" max="702" width="20.140625" bestFit="1" customWidth="1"/>
    <col min="703" max="703" width="18.7109375" bestFit="1" customWidth="1"/>
    <col min="704" max="704" width="18.42578125" bestFit="1" customWidth="1"/>
    <col min="705" max="705" width="14.85546875" bestFit="1" customWidth="1"/>
    <col min="706" max="706" width="24.42578125" bestFit="1" customWidth="1"/>
    <col min="707" max="707" width="9.7109375" bestFit="1" customWidth="1"/>
    <col min="708" max="708" width="15.140625" bestFit="1" customWidth="1"/>
    <col min="709" max="709" width="23.7109375" bestFit="1" customWidth="1"/>
    <col min="710" max="710" width="8.85546875" bestFit="1" customWidth="1"/>
    <col min="711" max="711" width="17.140625" bestFit="1" customWidth="1"/>
    <col min="712" max="712" width="8.42578125" bestFit="1" customWidth="1"/>
    <col min="713" max="713" width="7.28515625" bestFit="1" customWidth="1"/>
    <col min="714" max="714" width="27.42578125" bestFit="1" customWidth="1"/>
    <col min="715" max="715" width="26" bestFit="1" customWidth="1"/>
    <col min="716" max="716" width="25.85546875" bestFit="1" customWidth="1"/>
    <col min="717" max="717" width="22.140625" bestFit="1" customWidth="1"/>
    <col min="718" max="718" width="24.7109375" bestFit="1" customWidth="1"/>
    <col min="719" max="719" width="23.140625" bestFit="1" customWidth="1"/>
    <col min="720" max="720" width="23" bestFit="1" customWidth="1"/>
    <col min="721" max="721" width="19.28515625" bestFit="1" customWidth="1"/>
    <col min="722" max="722" width="20.140625" bestFit="1" customWidth="1"/>
    <col min="723" max="723" width="18.7109375" bestFit="1" customWidth="1"/>
    <col min="724" max="724" width="18.42578125" bestFit="1" customWidth="1"/>
    <col min="725" max="725" width="14.85546875" bestFit="1" customWidth="1"/>
  </cols>
  <sheetData>
    <row r="24" spans="1:6" s="2" customFormat="1" x14ac:dyDescent="0.2">
      <c r="A24" s="4" t="s">
        <v>40</v>
      </c>
      <c r="B24" s="35" t="s">
        <v>16</v>
      </c>
      <c r="C24" s="35" t="s">
        <v>17</v>
      </c>
      <c r="D24" s="35" t="s">
        <v>31</v>
      </c>
      <c r="E24"/>
      <c r="F24"/>
    </row>
    <row r="25" spans="1:6" s="2" customFormat="1" x14ac:dyDescent="0.2">
      <c r="A25" s="1" t="s">
        <v>15</v>
      </c>
      <c r="B25"/>
      <c r="C25"/>
      <c r="D25"/>
      <c r="E25"/>
      <c r="F25"/>
    </row>
    <row r="26" spans="1:6" x14ac:dyDescent="0.2">
      <c r="F26"/>
    </row>
    <row r="27" spans="1:6" x14ac:dyDescent="0.2">
      <c r="F27"/>
    </row>
    <row r="28" spans="1:6" x14ac:dyDescent="0.2">
      <c r="F28"/>
    </row>
    <row r="29" spans="1:6" x14ac:dyDescent="0.2">
      <c r="F29"/>
    </row>
    <row r="30" spans="1:6" x14ac:dyDescent="0.2">
      <c r="F30"/>
    </row>
    <row r="31" spans="1:6" x14ac:dyDescent="0.2">
      <c r="F31"/>
    </row>
    <row r="32" spans="1:6" x14ac:dyDescent="0.2">
      <c r="F32"/>
    </row>
    <row r="33" spans="6:6" x14ac:dyDescent="0.2">
      <c r="F33"/>
    </row>
    <row r="34" spans="6:6" x14ac:dyDescent="0.2">
      <c r="F34"/>
    </row>
    <row r="35" spans="6:6" x14ac:dyDescent="0.2">
      <c r="F35"/>
    </row>
    <row r="36" spans="6:6" x14ac:dyDescent="0.2">
      <c r="F36"/>
    </row>
    <row r="37" spans="6:6" x14ac:dyDescent="0.2">
      <c r="F37"/>
    </row>
    <row r="38" spans="6:6" x14ac:dyDescent="0.2">
      <c r="F38"/>
    </row>
    <row r="39" spans="6:6" x14ac:dyDescent="0.2">
      <c r="F39"/>
    </row>
    <row r="40" spans="6:6" x14ac:dyDescent="0.2">
      <c r="F40"/>
    </row>
    <row r="41" spans="6:6" x14ac:dyDescent="0.2">
      <c r="F41"/>
    </row>
    <row r="42" spans="6:6" x14ac:dyDescent="0.2">
      <c r="F42"/>
    </row>
    <row r="43" spans="6:6" x14ac:dyDescent="0.2">
      <c r="F43"/>
    </row>
    <row r="44" spans="6:6" x14ac:dyDescent="0.2">
      <c r="F44"/>
    </row>
    <row r="45" spans="6:6" x14ac:dyDescent="0.2">
      <c r="F45"/>
    </row>
    <row r="46" spans="6:6" x14ac:dyDescent="0.2">
      <c r="F46"/>
    </row>
    <row r="47" spans="6:6" x14ac:dyDescent="0.2">
      <c r="F47"/>
    </row>
    <row r="48" spans="6:6" x14ac:dyDescent="0.2">
      <c r="F48"/>
    </row>
    <row r="49" spans="6:6" x14ac:dyDescent="0.2">
      <c r="F49"/>
    </row>
    <row r="50" spans="6:6" x14ac:dyDescent="0.2">
      <c r="F50"/>
    </row>
    <row r="51" spans="6:6" x14ac:dyDescent="0.2">
      <c r="F51"/>
    </row>
    <row r="52" spans="6:6" x14ac:dyDescent="0.2">
      <c r="F52"/>
    </row>
    <row r="53" spans="6:6" x14ac:dyDescent="0.2">
      <c r="F53"/>
    </row>
    <row r="54" spans="6:6" x14ac:dyDescent="0.2">
      <c r="F54"/>
    </row>
    <row r="55" spans="6:6" x14ac:dyDescent="0.2">
      <c r="F55"/>
    </row>
    <row r="56" spans="6:6" x14ac:dyDescent="0.2">
      <c r="F56"/>
    </row>
    <row r="57" spans="6:6" x14ac:dyDescent="0.2">
      <c r="F57"/>
    </row>
    <row r="58" spans="6:6" x14ac:dyDescent="0.2">
      <c r="F58"/>
    </row>
    <row r="59" spans="6:6" x14ac:dyDescent="0.2">
      <c r="F59"/>
    </row>
    <row r="60" spans="6:6" x14ac:dyDescent="0.2">
      <c r="F60"/>
    </row>
    <row r="61" spans="6:6" x14ac:dyDescent="0.2">
      <c r="F61"/>
    </row>
    <row r="62" spans="6:6" x14ac:dyDescent="0.2">
      <c r="F62"/>
    </row>
    <row r="63" spans="6:6" x14ac:dyDescent="0.2">
      <c r="F63"/>
    </row>
    <row r="64" spans="6:6" x14ac:dyDescent="0.2">
      <c r="F64"/>
    </row>
    <row r="65" spans="6:6" x14ac:dyDescent="0.2">
      <c r="F65"/>
    </row>
    <row r="66" spans="6:6" x14ac:dyDescent="0.2">
      <c r="F66"/>
    </row>
    <row r="67" spans="6:6" x14ac:dyDescent="0.2">
      <c r="F67"/>
    </row>
    <row r="68" spans="6:6" x14ac:dyDescent="0.2">
      <c r="F68"/>
    </row>
    <row r="69" spans="6:6" x14ac:dyDescent="0.2">
      <c r="F69"/>
    </row>
    <row r="70" spans="6:6" x14ac:dyDescent="0.2">
      <c r="F70"/>
    </row>
    <row r="71" spans="6:6" x14ac:dyDescent="0.2">
      <c r="F71"/>
    </row>
    <row r="72" spans="6:6" x14ac:dyDescent="0.2">
      <c r="F72"/>
    </row>
    <row r="73" spans="6:6" x14ac:dyDescent="0.2">
      <c r="F73"/>
    </row>
    <row r="74" spans="6:6" x14ac:dyDescent="0.2">
      <c r="F74"/>
    </row>
    <row r="75" spans="6:6" x14ac:dyDescent="0.2">
      <c r="F75"/>
    </row>
    <row r="76" spans="6:6" x14ac:dyDescent="0.2">
      <c r="F76"/>
    </row>
    <row r="77" spans="6:6" x14ac:dyDescent="0.2">
      <c r="F77"/>
    </row>
    <row r="78" spans="6:6" x14ac:dyDescent="0.2">
      <c r="F78"/>
    </row>
    <row r="79" spans="6:6" x14ac:dyDescent="0.2">
      <c r="F79"/>
    </row>
    <row r="80" spans="6:6" x14ac:dyDescent="0.2">
      <c r="F80"/>
    </row>
    <row r="81" spans="6:6" x14ac:dyDescent="0.2">
      <c r="F81"/>
    </row>
    <row r="82" spans="6:6" x14ac:dyDescent="0.2">
      <c r="F82"/>
    </row>
    <row r="83" spans="6:6" x14ac:dyDescent="0.2">
      <c r="F83"/>
    </row>
    <row r="84" spans="6:6" x14ac:dyDescent="0.2">
      <c r="F84"/>
    </row>
    <row r="85" spans="6:6" x14ac:dyDescent="0.2">
      <c r="F85"/>
    </row>
    <row r="86" spans="6:6" x14ac:dyDescent="0.2">
      <c r="F86"/>
    </row>
    <row r="87" spans="6:6" x14ac:dyDescent="0.2">
      <c r="F87"/>
    </row>
    <row r="88" spans="6:6" x14ac:dyDescent="0.2">
      <c r="F88"/>
    </row>
    <row r="89" spans="6:6" x14ac:dyDescent="0.2">
      <c r="F89"/>
    </row>
    <row r="90" spans="6:6" x14ac:dyDescent="0.2">
      <c r="F90"/>
    </row>
    <row r="91" spans="6:6" x14ac:dyDescent="0.2">
      <c r="F91"/>
    </row>
    <row r="92" spans="6:6" x14ac:dyDescent="0.2">
      <c r="F92"/>
    </row>
    <row r="93" spans="6:6" x14ac:dyDescent="0.2">
      <c r="F93"/>
    </row>
    <row r="94" spans="6:6" x14ac:dyDescent="0.2">
      <c r="F94"/>
    </row>
    <row r="95" spans="6:6" x14ac:dyDescent="0.2">
      <c r="F95"/>
    </row>
    <row r="96" spans="6:6" x14ac:dyDescent="0.2">
      <c r="F96"/>
    </row>
    <row r="97" spans="6:6" x14ac:dyDescent="0.2">
      <c r="F97"/>
    </row>
    <row r="98" spans="6:6" x14ac:dyDescent="0.2">
      <c r="F98"/>
    </row>
    <row r="99" spans="6:6" x14ac:dyDescent="0.2">
      <c r="F99"/>
    </row>
    <row r="100" spans="6:6" x14ac:dyDescent="0.2">
      <c r="F100"/>
    </row>
    <row r="101" spans="6:6" x14ac:dyDescent="0.2">
      <c r="F101"/>
    </row>
    <row r="102" spans="6:6" x14ac:dyDescent="0.2">
      <c r="F102"/>
    </row>
    <row r="103" spans="6:6" x14ac:dyDescent="0.2">
      <c r="F103"/>
    </row>
    <row r="104" spans="6:6" x14ac:dyDescent="0.2">
      <c r="F104"/>
    </row>
    <row r="105" spans="6:6" x14ac:dyDescent="0.2">
      <c r="F105"/>
    </row>
    <row r="106" spans="6:6" x14ac:dyDescent="0.2">
      <c r="F106"/>
    </row>
    <row r="107" spans="6:6" x14ac:dyDescent="0.2">
      <c r="F107"/>
    </row>
    <row r="108" spans="6:6" x14ac:dyDescent="0.2">
      <c r="F108"/>
    </row>
    <row r="109" spans="6:6" x14ac:dyDescent="0.2">
      <c r="F109"/>
    </row>
    <row r="110" spans="6:6" x14ac:dyDescent="0.2">
      <c r="F110"/>
    </row>
    <row r="111" spans="6:6" x14ac:dyDescent="0.2">
      <c r="F111"/>
    </row>
    <row r="112" spans="6:6" x14ac:dyDescent="0.2">
      <c r="F112"/>
    </row>
    <row r="113" spans="6:6" x14ac:dyDescent="0.2">
      <c r="F113"/>
    </row>
    <row r="114" spans="6:6" x14ac:dyDescent="0.2">
      <c r="F114"/>
    </row>
    <row r="115" spans="6:6" x14ac:dyDescent="0.2">
      <c r="F115"/>
    </row>
    <row r="116" spans="6:6" x14ac:dyDescent="0.2">
      <c r="F116"/>
    </row>
    <row r="117" spans="6:6" x14ac:dyDescent="0.2">
      <c r="F117"/>
    </row>
    <row r="118" spans="6:6" x14ac:dyDescent="0.2">
      <c r="F118"/>
    </row>
    <row r="119" spans="6:6" x14ac:dyDescent="0.2">
      <c r="F119"/>
    </row>
    <row r="120" spans="6:6" x14ac:dyDescent="0.2">
      <c r="F120"/>
    </row>
    <row r="121" spans="6:6" x14ac:dyDescent="0.2">
      <c r="F121"/>
    </row>
    <row r="122" spans="6:6" x14ac:dyDescent="0.2">
      <c r="F122"/>
    </row>
    <row r="123" spans="6:6" x14ac:dyDescent="0.2">
      <c r="F123"/>
    </row>
    <row r="124" spans="6:6" x14ac:dyDescent="0.2">
      <c r="F124"/>
    </row>
    <row r="125" spans="6:6" x14ac:dyDescent="0.2">
      <c r="F125"/>
    </row>
    <row r="126" spans="6:6" x14ac:dyDescent="0.2">
      <c r="F126"/>
    </row>
    <row r="127" spans="6:6" x14ac:dyDescent="0.2">
      <c r="F127"/>
    </row>
    <row r="128" spans="6:6" x14ac:dyDescent="0.2">
      <c r="F128"/>
    </row>
    <row r="129" spans="6:6" x14ac:dyDescent="0.2">
      <c r="F129"/>
    </row>
    <row r="130" spans="6:6" x14ac:dyDescent="0.2">
      <c r="F130"/>
    </row>
    <row r="131" spans="6:6" x14ac:dyDescent="0.2">
      <c r="F131"/>
    </row>
    <row r="132" spans="6:6" x14ac:dyDescent="0.2">
      <c r="F132"/>
    </row>
    <row r="133" spans="6:6" x14ac:dyDescent="0.2">
      <c r="F133"/>
    </row>
    <row r="134" spans="6:6" x14ac:dyDescent="0.2">
      <c r="F134"/>
    </row>
    <row r="135" spans="6:6" x14ac:dyDescent="0.2">
      <c r="F135"/>
    </row>
    <row r="136" spans="6:6" x14ac:dyDescent="0.2">
      <c r="F136"/>
    </row>
    <row r="137" spans="6:6" x14ac:dyDescent="0.2">
      <c r="F137"/>
    </row>
    <row r="138" spans="6:6" x14ac:dyDescent="0.2">
      <c r="F138"/>
    </row>
    <row r="139" spans="6:6" x14ac:dyDescent="0.2">
      <c r="F139"/>
    </row>
    <row r="140" spans="6:6" x14ac:dyDescent="0.2">
      <c r="F140"/>
    </row>
    <row r="141" spans="6:6" x14ac:dyDescent="0.2">
      <c r="F141"/>
    </row>
    <row r="142" spans="6:6" x14ac:dyDescent="0.2">
      <c r="F142"/>
    </row>
    <row r="143" spans="6:6" x14ac:dyDescent="0.2">
      <c r="F143"/>
    </row>
    <row r="144" spans="6:6" x14ac:dyDescent="0.2">
      <c r="F144"/>
    </row>
    <row r="145" spans="6:6" x14ac:dyDescent="0.2">
      <c r="F145"/>
    </row>
    <row r="146" spans="6:6" x14ac:dyDescent="0.2">
      <c r="F146"/>
    </row>
    <row r="147" spans="6:6" x14ac:dyDescent="0.2">
      <c r="F147"/>
    </row>
    <row r="148" spans="6:6" x14ac:dyDescent="0.2">
      <c r="F148"/>
    </row>
    <row r="149" spans="6:6" x14ac:dyDescent="0.2">
      <c r="F149"/>
    </row>
    <row r="150" spans="6:6" x14ac:dyDescent="0.2">
      <c r="F150"/>
    </row>
    <row r="151" spans="6:6" x14ac:dyDescent="0.2">
      <c r="F151"/>
    </row>
    <row r="152" spans="6:6" x14ac:dyDescent="0.2">
      <c r="F152"/>
    </row>
    <row r="153" spans="6:6" x14ac:dyDescent="0.2">
      <c r="F153"/>
    </row>
    <row r="154" spans="6:6" x14ac:dyDescent="0.2">
      <c r="F154"/>
    </row>
    <row r="155" spans="6:6" x14ac:dyDescent="0.2">
      <c r="F155"/>
    </row>
    <row r="156" spans="6:6" x14ac:dyDescent="0.2">
      <c r="F156"/>
    </row>
    <row r="157" spans="6:6" x14ac:dyDescent="0.2">
      <c r="F157"/>
    </row>
    <row r="158" spans="6:6" x14ac:dyDescent="0.2">
      <c r="F158"/>
    </row>
    <row r="159" spans="6:6" x14ac:dyDescent="0.2">
      <c r="F159"/>
    </row>
    <row r="160" spans="6:6" x14ac:dyDescent="0.2">
      <c r="F160"/>
    </row>
    <row r="161" spans="6:6" x14ac:dyDescent="0.2">
      <c r="F161"/>
    </row>
    <row r="162" spans="6:6" x14ac:dyDescent="0.2">
      <c r="F162"/>
    </row>
    <row r="163" spans="6:6" x14ac:dyDescent="0.2">
      <c r="F163"/>
    </row>
    <row r="164" spans="6:6" x14ac:dyDescent="0.2">
      <c r="F164"/>
    </row>
    <row r="165" spans="6:6" x14ac:dyDescent="0.2">
      <c r="F165"/>
    </row>
    <row r="166" spans="6:6" x14ac:dyDescent="0.2">
      <c r="F166"/>
    </row>
    <row r="167" spans="6:6" x14ac:dyDescent="0.2">
      <c r="F167"/>
    </row>
    <row r="168" spans="6:6" x14ac:dyDescent="0.2">
      <c r="F168"/>
    </row>
    <row r="169" spans="6:6" x14ac:dyDescent="0.2">
      <c r="F169"/>
    </row>
    <row r="170" spans="6:6" x14ac:dyDescent="0.2">
      <c r="F170"/>
    </row>
    <row r="171" spans="6:6" x14ac:dyDescent="0.2">
      <c r="F171"/>
    </row>
    <row r="172" spans="6:6" x14ac:dyDescent="0.2">
      <c r="F172"/>
    </row>
    <row r="173" spans="6:6" x14ac:dyDescent="0.2">
      <c r="F173"/>
    </row>
    <row r="174" spans="6:6" x14ac:dyDescent="0.2">
      <c r="F174"/>
    </row>
    <row r="175" spans="6:6" x14ac:dyDescent="0.2">
      <c r="F175"/>
    </row>
    <row r="176" spans="6:6" x14ac:dyDescent="0.2">
      <c r="F176"/>
    </row>
    <row r="177" spans="6:6" x14ac:dyDescent="0.2">
      <c r="F177"/>
    </row>
    <row r="178" spans="6:6" x14ac:dyDescent="0.2">
      <c r="F178"/>
    </row>
    <row r="179" spans="6:6" x14ac:dyDescent="0.2">
      <c r="F179"/>
    </row>
    <row r="180" spans="6:6" x14ac:dyDescent="0.2">
      <c r="F180"/>
    </row>
    <row r="181" spans="6:6" x14ac:dyDescent="0.2">
      <c r="F181"/>
    </row>
    <row r="182" spans="6:6" x14ac:dyDescent="0.2">
      <c r="F182"/>
    </row>
    <row r="183" spans="6:6" x14ac:dyDescent="0.2">
      <c r="F183"/>
    </row>
    <row r="184" spans="6:6" x14ac:dyDescent="0.2">
      <c r="F184"/>
    </row>
    <row r="185" spans="6:6" x14ac:dyDescent="0.2">
      <c r="F185"/>
    </row>
    <row r="186" spans="6:6" x14ac:dyDescent="0.2">
      <c r="F186"/>
    </row>
    <row r="187" spans="6:6" x14ac:dyDescent="0.2">
      <c r="F187"/>
    </row>
    <row r="188" spans="6:6" x14ac:dyDescent="0.2">
      <c r="F188"/>
    </row>
    <row r="189" spans="6:6" x14ac:dyDescent="0.2">
      <c r="F189"/>
    </row>
    <row r="190" spans="6:6" x14ac:dyDescent="0.2">
      <c r="F190"/>
    </row>
    <row r="191" spans="6:6" x14ac:dyDescent="0.2">
      <c r="F191"/>
    </row>
    <row r="192" spans="6:6" x14ac:dyDescent="0.2">
      <c r="F192"/>
    </row>
    <row r="193" spans="6:6" x14ac:dyDescent="0.2">
      <c r="F193"/>
    </row>
    <row r="194" spans="6:6" x14ac:dyDescent="0.2">
      <c r="F194"/>
    </row>
    <row r="195" spans="6:6" x14ac:dyDescent="0.2">
      <c r="F195"/>
    </row>
    <row r="196" spans="6:6" x14ac:dyDescent="0.2">
      <c r="F196"/>
    </row>
    <row r="197" spans="6:6" x14ac:dyDescent="0.2">
      <c r="F197"/>
    </row>
    <row r="198" spans="6:6" x14ac:dyDescent="0.2">
      <c r="F198"/>
    </row>
    <row r="199" spans="6:6" x14ac:dyDescent="0.2">
      <c r="F199"/>
    </row>
    <row r="200" spans="6:6" x14ac:dyDescent="0.2">
      <c r="F200"/>
    </row>
    <row r="201" spans="6:6" x14ac:dyDescent="0.2">
      <c r="F201"/>
    </row>
    <row r="202" spans="6:6" x14ac:dyDescent="0.2">
      <c r="F202"/>
    </row>
    <row r="203" spans="6:6" x14ac:dyDescent="0.2">
      <c r="F203"/>
    </row>
    <row r="204" spans="6:6" x14ac:dyDescent="0.2">
      <c r="F204"/>
    </row>
    <row r="205" spans="6:6" x14ac:dyDescent="0.2">
      <c r="F205"/>
    </row>
    <row r="206" spans="6:6" x14ac:dyDescent="0.2">
      <c r="F206"/>
    </row>
    <row r="207" spans="6:6" x14ac:dyDescent="0.2">
      <c r="F207"/>
    </row>
    <row r="208" spans="6:6" x14ac:dyDescent="0.2">
      <c r="F208"/>
    </row>
    <row r="209" spans="6:6" x14ac:dyDescent="0.2">
      <c r="F209"/>
    </row>
    <row r="210" spans="6:6" x14ac:dyDescent="0.2">
      <c r="F210"/>
    </row>
    <row r="211" spans="6:6" x14ac:dyDescent="0.2">
      <c r="F211"/>
    </row>
    <row r="212" spans="6:6" x14ac:dyDescent="0.2">
      <c r="F212"/>
    </row>
    <row r="213" spans="6:6" x14ac:dyDescent="0.2">
      <c r="F213"/>
    </row>
    <row r="214" spans="6:6" x14ac:dyDescent="0.2">
      <c r="F214"/>
    </row>
    <row r="215" spans="6:6" x14ac:dyDescent="0.2">
      <c r="F215"/>
    </row>
    <row r="216" spans="6:6" x14ac:dyDescent="0.2">
      <c r="F216"/>
    </row>
    <row r="217" spans="6:6" x14ac:dyDescent="0.2">
      <c r="F217"/>
    </row>
    <row r="218" spans="6:6" x14ac:dyDescent="0.2">
      <c r="F218"/>
    </row>
    <row r="219" spans="6:6" x14ac:dyDescent="0.2">
      <c r="F219"/>
    </row>
    <row r="220" spans="6:6" x14ac:dyDescent="0.2">
      <c r="F220"/>
    </row>
    <row r="221" spans="6:6" x14ac:dyDescent="0.2">
      <c r="F221"/>
    </row>
    <row r="222" spans="6:6" x14ac:dyDescent="0.2">
      <c r="F222"/>
    </row>
    <row r="223" spans="6:6" x14ac:dyDescent="0.2">
      <c r="F223"/>
    </row>
    <row r="224" spans="6:6" x14ac:dyDescent="0.2">
      <c r="F224"/>
    </row>
    <row r="225" spans="6:6" x14ac:dyDescent="0.2">
      <c r="F225"/>
    </row>
    <row r="226" spans="6:6" x14ac:dyDescent="0.2">
      <c r="F226"/>
    </row>
    <row r="227" spans="6:6" x14ac:dyDescent="0.2">
      <c r="F227"/>
    </row>
    <row r="228" spans="6:6" x14ac:dyDescent="0.2">
      <c r="F228"/>
    </row>
    <row r="229" spans="6:6" x14ac:dyDescent="0.2">
      <c r="F229"/>
    </row>
    <row r="230" spans="6:6" x14ac:dyDescent="0.2">
      <c r="F230"/>
    </row>
    <row r="231" spans="6:6" x14ac:dyDescent="0.2">
      <c r="F231"/>
    </row>
    <row r="232" spans="6:6" x14ac:dyDescent="0.2">
      <c r="F232"/>
    </row>
    <row r="233" spans="6:6" x14ac:dyDescent="0.2">
      <c r="F233"/>
    </row>
    <row r="234" spans="6:6" x14ac:dyDescent="0.2">
      <c r="F234"/>
    </row>
    <row r="235" spans="6:6" x14ac:dyDescent="0.2">
      <c r="F235"/>
    </row>
    <row r="236" spans="6:6" x14ac:dyDescent="0.2">
      <c r="F236"/>
    </row>
    <row r="237" spans="6:6" x14ac:dyDescent="0.2">
      <c r="F237"/>
    </row>
    <row r="238" spans="6:6" x14ac:dyDescent="0.2">
      <c r="F238"/>
    </row>
    <row r="239" spans="6:6" x14ac:dyDescent="0.2">
      <c r="F239"/>
    </row>
    <row r="240" spans="6:6" x14ac:dyDescent="0.2">
      <c r="F240"/>
    </row>
    <row r="241" spans="6:6" x14ac:dyDescent="0.2">
      <c r="F241"/>
    </row>
    <row r="242" spans="6:6" x14ac:dyDescent="0.2">
      <c r="F242"/>
    </row>
    <row r="243" spans="6:6" x14ac:dyDescent="0.2">
      <c r="F243"/>
    </row>
    <row r="244" spans="6:6" x14ac:dyDescent="0.2">
      <c r="F244"/>
    </row>
    <row r="245" spans="6:6" x14ac:dyDescent="0.2">
      <c r="F245"/>
    </row>
    <row r="246" spans="6:6" x14ac:dyDescent="0.2">
      <c r="F246"/>
    </row>
    <row r="247" spans="6:6" x14ac:dyDescent="0.2">
      <c r="F247"/>
    </row>
    <row r="248" spans="6:6" x14ac:dyDescent="0.2">
      <c r="F248"/>
    </row>
    <row r="249" spans="6:6" x14ac:dyDescent="0.2">
      <c r="F249"/>
    </row>
    <row r="250" spans="6:6" x14ac:dyDescent="0.2">
      <c r="F250"/>
    </row>
    <row r="251" spans="6:6" x14ac:dyDescent="0.2">
      <c r="F251"/>
    </row>
    <row r="252" spans="6:6" x14ac:dyDescent="0.2">
      <c r="F252"/>
    </row>
    <row r="253" spans="6:6" x14ac:dyDescent="0.2">
      <c r="F253"/>
    </row>
    <row r="254" spans="6:6" x14ac:dyDescent="0.2">
      <c r="F254"/>
    </row>
    <row r="255" spans="6:6" x14ac:dyDescent="0.2">
      <c r="F255"/>
    </row>
    <row r="256" spans="6:6" x14ac:dyDescent="0.2">
      <c r="F256"/>
    </row>
    <row r="257" spans="6:6" x14ac:dyDescent="0.2">
      <c r="F257"/>
    </row>
    <row r="258" spans="6:6" x14ac:dyDescent="0.2">
      <c r="F258"/>
    </row>
    <row r="259" spans="6:6" x14ac:dyDescent="0.2">
      <c r="F259"/>
    </row>
    <row r="260" spans="6:6" x14ac:dyDescent="0.2">
      <c r="F260"/>
    </row>
    <row r="261" spans="6:6" x14ac:dyDescent="0.2">
      <c r="F261"/>
    </row>
    <row r="262" spans="6:6" x14ac:dyDescent="0.2">
      <c r="F262"/>
    </row>
    <row r="263" spans="6:6" x14ac:dyDescent="0.2">
      <c r="F263"/>
    </row>
    <row r="264" spans="6:6" x14ac:dyDescent="0.2">
      <c r="F264"/>
    </row>
    <row r="265" spans="6:6" x14ac:dyDescent="0.2">
      <c r="F265"/>
    </row>
    <row r="266" spans="6:6" x14ac:dyDescent="0.2">
      <c r="F266"/>
    </row>
    <row r="267" spans="6:6" x14ac:dyDescent="0.2">
      <c r="F267"/>
    </row>
    <row r="268" spans="6:6" x14ac:dyDescent="0.2">
      <c r="F268"/>
    </row>
    <row r="269" spans="6:6" x14ac:dyDescent="0.2">
      <c r="F269"/>
    </row>
    <row r="270" spans="6:6" x14ac:dyDescent="0.2">
      <c r="F270"/>
    </row>
    <row r="271" spans="6:6" x14ac:dyDescent="0.2">
      <c r="F271"/>
    </row>
    <row r="272" spans="6:6" x14ac:dyDescent="0.2">
      <c r="F272"/>
    </row>
    <row r="273" spans="6:6" x14ac:dyDescent="0.2">
      <c r="F273"/>
    </row>
    <row r="274" spans="6:6" x14ac:dyDescent="0.2">
      <c r="F274"/>
    </row>
    <row r="275" spans="6:6" x14ac:dyDescent="0.2">
      <c r="F275"/>
    </row>
    <row r="276" spans="6:6" x14ac:dyDescent="0.2">
      <c r="F276"/>
    </row>
    <row r="277" spans="6:6" x14ac:dyDescent="0.2">
      <c r="F277"/>
    </row>
    <row r="278" spans="6:6" x14ac:dyDescent="0.2">
      <c r="F278"/>
    </row>
    <row r="279" spans="6:6" x14ac:dyDescent="0.2">
      <c r="F279"/>
    </row>
    <row r="280" spans="6:6" x14ac:dyDescent="0.2">
      <c r="F280"/>
    </row>
    <row r="281" spans="6:6" x14ac:dyDescent="0.2">
      <c r="F281"/>
    </row>
    <row r="282" spans="6:6" x14ac:dyDescent="0.2">
      <c r="F282"/>
    </row>
    <row r="283" spans="6:6" x14ac:dyDescent="0.2">
      <c r="F283"/>
    </row>
    <row r="284" spans="6:6" x14ac:dyDescent="0.2">
      <c r="F284"/>
    </row>
    <row r="285" spans="6:6" x14ac:dyDescent="0.2">
      <c r="F285"/>
    </row>
    <row r="286" spans="6:6" x14ac:dyDescent="0.2">
      <c r="F286"/>
    </row>
    <row r="287" spans="6:6" x14ac:dyDescent="0.2">
      <c r="F287"/>
    </row>
    <row r="288" spans="6:6" x14ac:dyDescent="0.2">
      <c r="F288"/>
    </row>
    <row r="289" spans="6:6" x14ac:dyDescent="0.2">
      <c r="F289"/>
    </row>
    <row r="290" spans="6:6" x14ac:dyDescent="0.2">
      <c r="F290"/>
    </row>
    <row r="291" spans="6:6" x14ac:dyDescent="0.2">
      <c r="F291"/>
    </row>
    <row r="292" spans="6:6" x14ac:dyDescent="0.2">
      <c r="F292"/>
    </row>
    <row r="293" spans="6:6" x14ac:dyDescent="0.2">
      <c r="F293"/>
    </row>
    <row r="294" spans="6:6" x14ac:dyDescent="0.2">
      <c r="F294"/>
    </row>
    <row r="295" spans="6:6" x14ac:dyDescent="0.2">
      <c r="F295"/>
    </row>
    <row r="296" spans="6:6" x14ac:dyDescent="0.2">
      <c r="F296"/>
    </row>
    <row r="297" spans="6:6" x14ac:dyDescent="0.2">
      <c r="F297"/>
    </row>
    <row r="298" spans="6:6" x14ac:dyDescent="0.2">
      <c r="F298"/>
    </row>
    <row r="299" spans="6:6" x14ac:dyDescent="0.2">
      <c r="F299"/>
    </row>
    <row r="300" spans="6:6" x14ac:dyDescent="0.2">
      <c r="F300"/>
    </row>
    <row r="301" spans="6:6" x14ac:dyDescent="0.2">
      <c r="F301"/>
    </row>
    <row r="302" spans="6:6" x14ac:dyDescent="0.2">
      <c r="F302"/>
    </row>
    <row r="303" spans="6:6" x14ac:dyDescent="0.2">
      <c r="F303"/>
    </row>
    <row r="304" spans="6:6" x14ac:dyDescent="0.2">
      <c r="F304"/>
    </row>
    <row r="305" spans="6:6" x14ac:dyDescent="0.2">
      <c r="F305"/>
    </row>
    <row r="306" spans="6:6" x14ac:dyDescent="0.2">
      <c r="F306"/>
    </row>
    <row r="307" spans="6:6" x14ac:dyDescent="0.2">
      <c r="F307"/>
    </row>
    <row r="308" spans="6:6" x14ac:dyDescent="0.2">
      <c r="F308"/>
    </row>
    <row r="309" spans="6:6" x14ac:dyDescent="0.2">
      <c r="F309"/>
    </row>
    <row r="310" spans="6:6" x14ac:dyDescent="0.2">
      <c r="F310"/>
    </row>
    <row r="311" spans="6:6" x14ac:dyDescent="0.2">
      <c r="F311"/>
    </row>
    <row r="312" spans="6:6" x14ac:dyDescent="0.2">
      <c r="F312"/>
    </row>
    <row r="313" spans="6:6" x14ac:dyDescent="0.2">
      <c r="F313"/>
    </row>
    <row r="314" spans="6:6" x14ac:dyDescent="0.2">
      <c r="F314"/>
    </row>
    <row r="315" spans="6:6" x14ac:dyDescent="0.2">
      <c r="F315"/>
    </row>
    <row r="316" spans="6:6" x14ac:dyDescent="0.2">
      <c r="F316"/>
    </row>
    <row r="317" spans="6:6" x14ac:dyDescent="0.2">
      <c r="F317"/>
    </row>
    <row r="318" spans="6:6" x14ac:dyDescent="0.2">
      <c r="F318"/>
    </row>
    <row r="319" spans="6:6" x14ac:dyDescent="0.2">
      <c r="F319"/>
    </row>
    <row r="320" spans="6:6" x14ac:dyDescent="0.2">
      <c r="F320"/>
    </row>
    <row r="321" spans="6:6" x14ac:dyDescent="0.2">
      <c r="F321"/>
    </row>
    <row r="322" spans="6:6" x14ac:dyDescent="0.2">
      <c r="F322"/>
    </row>
    <row r="323" spans="6:6" x14ac:dyDescent="0.2">
      <c r="F323"/>
    </row>
    <row r="324" spans="6:6" x14ac:dyDescent="0.2">
      <c r="F324"/>
    </row>
    <row r="325" spans="6:6" x14ac:dyDescent="0.2">
      <c r="F325"/>
    </row>
    <row r="326" spans="6:6" x14ac:dyDescent="0.2">
      <c r="F326"/>
    </row>
    <row r="327" spans="6:6" x14ac:dyDescent="0.2">
      <c r="F327"/>
    </row>
    <row r="328" spans="6:6" x14ac:dyDescent="0.2">
      <c r="F328"/>
    </row>
    <row r="329" spans="6:6" x14ac:dyDescent="0.2">
      <c r="F329"/>
    </row>
    <row r="330" spans="6:6" x14ac:dyDescent="0.2">
      <c r="F330"/>
    </row>
    <row r="331" spans="6:6" x14ac:dyDescent="0.2">
      <c r="F331"/>
    </row>
    <row r="332" spans="6:6" x14ac:dyDescent="0.2">
      <c r="F332"/>
    </row>
    <row r="333" spans="6:6" x14ac:dyDescent="0.2">
      <c r="F333"/>
    </row>
    <row r="334" spans="6:6" x14ac:dyDescent="0.2">
      <c r="F334"/>
    </row>
    <row r="335" spans="6:6" x14ac:dyDescent="0.2">
      <c r="F335"/>
    </row>
    <row r="336" spans="6:6" x14ac:dyDescent="0.2">
      <c r="F336"/>
    </row>
    <row r="337" spans="6:6" x14ac:dyDescent="0.2">
      <c r="F337"/>
    </row>
    <row r="338" spans="6:6" x14ac:dyDescent="0.2">
      <c r="F338"/>
    </row>
    <row r="339" spans="6:6" x14ac:dyDescent="0.2">
      <c r="F339"/>
    </row>
    <row r="340" spans="6:6" x14ac:dyDescent="0.2">
      <c r="F340"/>
    </row>
    <row r="341" spans="6:6" x14ac:dyDescent="0.2">
      <c r="F341"/>
    </row>
    <row r="342" spans="6:6" x14ac:dyDescent="0.2">
      <c r="F342"/>
    </row>
    <row r="343" spans="6:6" x14ac:dyDescent="0.2">
      <c r="F343"/>
    </row>
    <row r="344" spans="6:6" x14ac:dyDescent="0.2">
      <c r="F344"/>
    </row>
    <row r="345" spans="6:6" x14ac:dyDescent="0.2">
      <c r="F345"/>
    </row>
    <row r="346" spans="6:6" x14ac:dyDescent="0.2">
      <c r="F346"/>
    </row>
    <row r="347" spans="6:6" x14ac:dyDescent="0.2">
      <c r="F347"/>
    </row>
    <row r="348" spans="6:6" x14ac:dyDescent="0.2">
      <c r="F348"/>
    </row>
    <row r="349" spans="6:6" x14ac:dyDescent="0.2">
      <c r="F349"/>
    </row>
    <row r="350" spans="6:6" x14ac:dyDescent="0.2">
      <c r="F350"/>
    </row>
    <row r="351" spans="6:6" x14ac:dyDescent="0.2">
      <c r="F351"/>
    </row>
    <row r="352" spans="6:6" x14ac:dyDescent="0.2">
      <c r="F352"/>
    </row>
    <row r="353" spans="6:6" x14ac:dyDescent="0.2">
      <c r="F353"/>
    </row>
    <row r="354" spans="6:6" x14ac:dyDescent="0.2">
      <c r="F354"/>
    </row>
    <row r="355" spans="6:6" x14ac:dyDescent="0.2">
      <c r="F355"/>
    </row>
    <row r="356" spans="6:6" x14ac:dyDescent="0.2">
      <c r="F356"/>
    </row>
    <row r="357" spans="6:6" x14ac:dyDescent="0.2">
      <c r="F357"/>
    </row>
    <row r="358" spans="6:6" x14ac:dyDescent="0.2">
      <c r="F358"/>
    </row>
    <row r="359" spans="6:6" x14ac:dyDescent="0.2">
      <c r="F359"/>
    </row>
    <row r="360" spans="6:6" x14ac:dyDescent="0.2">
      <c r="F360"/>
    </row>
    <row r="361" spans="6:6" x14ac:dyDescent="0.2">
      <c r="F361"/>
    </row>
    <row r="362" spans="6:6" x14ac:dyDescent="0.2">
      <c r="F362"/>
    </row>
    <row r="363" spans="6:6" x14ac:dyDescent="0.2">
      <c r="F363"/>
    </row>
    <row r="364" spans="6:6" x14ac:dyDescent="0.2">
      <c r="F364"/>
    </row>
    <row r="365" spans="6:6" x14ac:dyDescent="0.2">
      <c r="F365"/>
    </row>
    <row r="366" spans="6:6" x14ac:dyDescent="0.2">
      <c r="F366"/>
    </row>
    <row r="367" spans="6:6" x14ac:dyDescent="0.2">
      <c r="F367"/>
    </row>
    <row r="368" spans="6:6" x14ac:dyDescent="0.2">
      <c r="F368"/>
    </row>
    <row r="369" spans="6:6" x14ac:dyDescent="0.2">
      <c r="F369"/>
    </row>
    <row r="370" spans="6:6" x14ac:dyDescent="0.2">
      <c r="F370"/>
    </row>
    <row r="371" spans="6:6" x14ac:dyDescent="0.2">
      <c r="F371"/>
    </row>
    <row r="372" spans="6:6" x14ac:dyDescent="0.2">
      <c r="F372"/>
    </row>
    <row r="373" spans="6:6" x14ac:dyDescent="0.2">
      <c r="F373"/>
    </row>
    <row r="374" spans="6:6" x14ac:dyDescent="0.2">
      <c r="F374"/>
    </row>
    <row r="375" spans="6:6" x14ac:dyDescent="0.2">
      <c r="F375"/>
    </row>
    <row r="376" spans="6:6" x14ac:dyDescent="0.2">
      <c r="F376"/>
    </row>
    <row r="377" spans="6:6" x14ac:dyDescent="0.2">
      <c r="F377"/>
    </row>
    <row r="378" spans="6:6" x14ac:dyDescent="0.2">
      <c r="F378"/>
    </row>
    <row r="379" spans="6:6" x14ac:dyDescent="0.2">
      <c r="F379"/>
    </row>
    <row r="380" spans="6:6" x14ac:dyDescent="0.2">
      <c r="F380"/>
    </row>
    <row r="381" spans="6:6" x14ac:dyDescent="0.2">
      <c r="F381"/>
    </row>
    <row r="382" spans="6:6" x14ac:dyDescent="0.2">
      <c r="F382"/>
    </row>
    <row r="383" spans="6:6" x14ac:dyDescent="0.2">
      <c r="F383"/>
    </row>
    <row r="384" spans="6:6" x14ac:dyDescent="0.2">
      <c r="F384"/>
    </row>
    <row r="385" spans="6:6" x14ac:dyDescent="0.2">
      <c r="F385"/>
    </row>
    <row r="386" spans="6:6" x14ac:dyDescent="0.2">
      <c r="F386"/>
    </row>
    <row r="387" spans="6:6" x14ac:dyDescent="0.2">
      <c r="F387"/>
    </row>
    <row r="388" spans="6:6" x14ac:dyDescent="0.2">
      <c r="F388"/>
    </row>
    <row r="389" spans="6:6" x14ac:dyDescent="0.2">
      <c r="F389"/>
    </row>
    <row r="390" spans="6:6" x14ac:dyDescent="0.2">
      <c r="F390"/>
    </row>
    <row r="391" spans="6:6" x14ac:dyDescent="0.2">
      <c r="F391"/>
    </row>
    <row r="392" spans="6:6" x14ac:dyDescent="0.2">
      <c r="F392"/>
    </row>
    <row r="393" spans="6:6" x14ac:dyDescent="0.2">
      <c r="F393"/>
    </row>
    <row r="394" spans="6:6" x14ac:dyDescent="0.2">
      <c r="F394"/>
    </row>
    <row r="395" spans="6:6" x14ac:dyDescent="0.2">
      <c r="F395"/>
    </row>
    <row r="396" spans="6:6" x14ac:dyDescent="0.2">
      <c r="F396"/>
    </row>
    <row r="397" spans="6:6" x14ac:dyDescent="0.2">
      <c r="F397"/>
    </row>
    <row r="398" spans="6:6" x14ac:dyDescent="0.2">
      <c r="F398"/>
    </row>
    <row r="399" spans="6:6" x14ac:dyDescent="0.2">
      <c r="F399"/>
    </row>
    <row r="400" spans="6:6" x14ac:dyDescent="0.2">
      <c r="F400"/>
    </row>
    <row r="401" spans="6:6" x14ac:dyDescent="0.2">
      <c r="F401"/>
    </row>
    <row r="402" spans="6:6" x14ac:dyDescent="0.2">
      <c r="F402"/>
    </row>
    <row r="403" spans="6:6" x14ac:dyDescent="0.2">
      <c r="F403"/>
    </row>
    <row r="404" spans="6:6" x14ac:dyDescent="0.2">
      <c r="F404"/>
    </row>
    <row r="405" spans="6:6" x14ac:dyDescent="0.2">
      <c r="F405"/>
    </row>
    <row r="406" spans="6:6" x14ac:dyDescent="0.2">
      <c r="F406"/>
    </row>
    <row r="407" spans="6:6" x14ac:dyDescent="0.2">
      <c r="F407"/>
    </row>
    <row r="408" spans="6:6" x14ac:dyDescent="0.2">
      <c r="F408"/>
    </row>
    <row r="409" spans="6:6" x14ac:dyDescent="0.2">
      <c r="F409"/>
    </row>
    <row r="410" spans="6:6" x14ac:dyDescent="0.2">
      <c r="F410"/>
    </row>
    <row r="411" spans="6:6" x14ac:dyDescent="0.2">
      <c r="F411"/>
    </row>
    <row r="412" spans="6:6" x14ac:dyDescent="0.2">
      <c r="F412"/>
    </row>
    <row r="413" spans="6:6" x14ac:dyDescent="0.2">
      <c r="F413"/>
    </row>
    <row r="414" spans="6:6" x14ac:dyDescent="0.2">
      <c r="F414"/>
    </row>
    <row r="415" spans="6:6" x14ac:dyDescent="0.2">
      <c r="F415"/>
    </row>
    <row r="416" spans="6:6" x14ac:dyDescent="0.2">
      <c r="F416"/>
    </row>
    <row r="417" spans="6:6" x14ac:dyDescent="0.2">
      <c r="F417"/>
    </row>
    <row r="418" spans="6:6" x14ac:dyDescent="0.2">
      <c r="F418"/>
    </row>
    <row r="419" spans="6:6" x14ac:dyDescent="0.2">
      <c r="F419"/>
    </row>
    <row r="420" spans="6:6" x14ac:dyDescent="0.2">
      <c r="F420"/>
    </row>
    <row r="421" spans="6:6" x14ac:dyDescent="0.2">
      <c r="F421"/>
    </row>
    <row r="422" spans="6:6" x14ac:dyDescent="0.2">
      <c r="F422"/>
    </row>
    <row r="423" spans="6:6" x14ac:dyDescent="0.2">
      <c r="F423"/>
    </row>
    <row r="424" spans="6:6" x14ac:dyDescent="0.2">
      <c r="F424"/>
    </row>
    <row r="425" spans="6:6" x14ac:dyDescent="0.2">
      <c r="F425"/>
    </row>
    <row r="426" spans="6:6" x14ac:dyDescent="0.2">
      <c r="F426"/>
    </row>
    <row r="427" spans="6:6" x14ac:dyDescent="0.2">
      <c r="F427"/>
    </row>
    <row r="428" spans="6:6" x14ac:dyDescent="0.2">
      <c r="F428"/>
    </row>
    <row r="429" spans="6:6" x14ac:dyDescent="0.2">
      <c r="F429"/>
    </row>
    <row r="430" spans="6:6" x14ac:dyDescent="0.2">
      <c r="F430"/>
    </row>
    <row r="431" spans="6:6" x14ac:dyDescent="0.2">
      <c r="F431"/>
    </row>
    <row r="432" spans="6:6" x14ac:dyDescent="0.2">
      <c r="F432"/>
    </row>
    <row r="433" spans="6:6" x14ac:dyDescent="0.2">
      <c r="F433"/>
    </row>
    <row r="434" spans="6:6" x14ac:dyDescent="0.2">
      <c r="F434"/>
    </row>
    <row r="435" spans="6:6" x14ac:dyDescent="0.2">
      <c r="F435"/>
    </row>
    <row r="436" spans="6:6" x14ac:dyDescent="0.2">
      <c r="F436"/>
    </row>
    <row r="437" spans="6:6" x14ac:dyDescent="0.2">
      <c r="F437"/>
    </row>
    <row r="438" spans="6:6" x14ac:dyDescent="0.2">
      <c r="F438"/>
    </row>
    <row r="439" spans="6:6" x14ac:dyDescent="0.2">
      <c r="F439"/>
    </row>
    <row r="440" spans="6:6" x14ac:dyDescent="0.2">
      <c r="F440"/>
    </row>
    <row r="441" spans="6:6" x14ac:dyDescent="0.2">
      <c r="F441"/>
    </row>
    <row r="442" spans="6:6" x14ac:dyDescent="0.2">
      <c r="F442"/>
    </row>
    <row r="443" spans="6:6" x14ac:dyDescent="0.2">
      <c r="F443"/>
    </row>
    <row r="444" spans="6:6" x14ac:dyDescent="0.2">
      <c r="F444"/>
    </row>
    <row r="445" spans="6:6" x14ac:dyDescent="0.2">
      <c r="F445"/>
    </row>
    <row r="446" spans="6:6" x14ac:dyDescent="0.2">
      <c r="F446"/>
    </row>
    <row r="447" spans="6:6" x14ac:dyDescent="0.2">
      <c r="F447"/>
    </row>
    <row r="448" spans="6:6" x14ac:dyDescent="0.2">
      <c r="F448"/>
    </row>
    <row r="449" spans="6:6" x14ac:dyDescent="0.2">
      <c r="F449"/>
    </row>
    <row r="450" spans="6:6" x14ac:dyDescent="0.2">
      <c r="F450"/>
    </row>
    <row r="451" spans="6:6" x14ac:dyDescent="0.2">
      <c r="F451"/>
    </row>
    <row r="452" spans="6:6" x14ac:dyDescent="0.2">
      <c r="F452"/>
    </row>
    <row r="453" spans="6:6" x14ac:dyDescent="0.2">
      <c r="F453"/>
    </row>
    <row r="454" spans="6:6" x14ac:dyDescent="0.2">
      <c r="F454"/>
    </row>
    <row r="455" spans="6:6" x14ac:dyDescent="0.2">
      <c r="F455"/>
    </row>
    <row r="456" spans="6:6" x14ac:dyDescent="0.2">
      <c r="F456"/>
    </row>
    <row r="457" spans="6:6" x14ac:dyDescent="0.2">
      <c r="F457"/>
    </row>
    <row r="458" spans="6:6" x14ac:dyDescent="0.2">
      <c r="F458"/>
    </row>
    <row r="459" spans="6:6" x14ac:dyDescent="0.2">
      <c r="F459"/>
    </row>
    <row r="460" spans="6:6" x14ac:dyDescent="0.2">
      <c r="F460"/>
    </row>
    <row r="461" spans="6:6" x14ac:dyDescent="0.2">
      <c r="F461"/>
    </row>
    <row r="462" spans="6:6" x14ac:dyDescent="0.2">
      <c r="F462"/>
    </row>
    <row r="463" spans="6:6" x14ac:dyDescent="0.2">
      <c r="F463"/>
    </row>
    <row r="464" spans="6:6" x14ac:dyDescent="0.2">
      <c r="F464"/>
    </row>
    <row r="465" spans="6:6" x14ac:dyDescent="0.2">
      <c r="F465"/>
    </row>
    <row r="466" spans="6:6" x14ac:dyDescent="0.2">
      <c r="F466"/>
    </row>
    <row r="467" spans="6:6" x14ac:dyDescent="0.2">
      <c r="F467"/>
    </row>
    <row r="468" spans="6:6" x14ac:dyDescent="0.2">
      <c r="F468"/>
    </row>
    <row r="469" spans="6:6" x14ac:dyDescent="0.2">
      <c r="F469"/>
    </row>
    <row r="470" spans="6:6" x14ac:dyDescent="0.2">
      <c r="F470"/>
    </row>
    <row r="471" spans="6:6" x14ac:dyDescent="0.2">
      <c r="F471"/>
    </row>
    <row r="472" spans="6:6" x14ac:dyDescent="0.2">
      <c r="F472"/>
    </row>
    <row r="473" spans="6:6" x14ac:dyDescent="0.2">
      <c r="F473"/>
    </row>
    <row r="474" spans="6:6" x14ac:dyDescent="0.2">
      <c r="F474"/>
    </row>
    <row r="475" spans="6:6" x14ac:dyDescent="0.2">
      <c r="F475"/>
    </row>
    <row r="476" spans="6:6" x14ac:dyDescent="0.2">
      <c r="F476"/>
    </row>
    <row r="477" spans="6:6" x14ac:dyDescent="0.2">
      <c r="F477"/>
    </row>
    <row r="478" spans="6:6" x14ac:dyDescent="0.2">
      <c r="F478"/>
    </row>
    <row r="479" spans="6:6" x14ac:dyDescent="0.2">
      <c r="F479"/>
    </row>
    <row r="480" spans="6:6" x14ac:dyDescent="0.2">
      <c r="F480"/>
    </row>
    <row r="481" spans="6:6" x14ac:dyDescent="0.2">
      <c r="F481"/>
    </row>
    <row r="482" spans="6:6" x14ac:dyDescent="0.2">
      <c r="F482"/>
    </row>
    <row r="483" spans="6:6" x14ac:dyDescent="0.2">
      <c r="F483"/>
    </row>
    <row r="484" spans="6:6" x14ac:dyDescent="0.2">
      <c r="F484"/>
    </row>
    <row r="485" spans="6:6" x14ac:dyDescent="0.2">
      <c r="F485"/>
    </row>
    <row r="486" spans="6:6" x14ac:dyDescent="0.2">
      <c r="F486"/>
    </row>
    <row r="487" spans="6:6" x14ac:dyDescent="0.2">
      <c r="F487"/>
    </row>
    <row r="488" spans="6:6" x14ac:dyDescent="0.2">
      <c r="F488"/>
    </row>
    <row r="489" spans="6:6" x14ac:dyDescent="0.2">
      <c r="F489"/>
    </row>
    <row r="490" spans="6:6" x14ac:dyDescent="0.2">
      <c r="F490"/>
    </row>
    <row r="491" spans="6:6" x14ac:dyDescent="0.2">
      <c r="F491"/>
    </row>
    <row r="492" spans="6:6" x14ac:dyDescent="0.2">
      <c r="F492"/>
    </row>
    <row r="493" spans="6:6" x14ac:dyDescent="0.2">
      <c r="F493"/>
    </row>
    <row r="494" spans="6:6" x14ac:dyDescent="0.2">
      <c r="F494"/>
    </row>
    <row r="495" spans="6:6" x14ac:dyDescent="0.2">
      <c r="F495"/>
    </row>
    <row r="496" spans="6:6" x14ac:dyDescent="0.2">
      <c r="F496"/>
    </row>
    <row r="497" spans="6:6" x14ac:dyDescent="0.2">
      <c r="F497"/>
    </row>
    <row r="498" spans="6:6" x14ac:dyDescent="0.2">
      <c r="F498"/>
    </row>
    <row r="499" spans="6:6" x14ac:dyDescent="0.2">
      <c r="F499"/>
    </row>
    <row r="500" spans="6:6" x14ac:dyDescent="0.2">
      <c r="F500"/>
    </row>
    <row r="501" spans="6:6" x14ac:dyDescent="0.2">
      <c r="F501"/>
    </row>
    <row r="502" spans="6:6" x14ac:dyDescent="0.2">
      <c r="F502"/>
    </row>
    <row r="503" spans="6:6" x14ac:dyDescent="0.2">
      <c r="F503"/>
    </row>
    <row r="504" spans="6:6" x14ac:dyDescent="0.2">
      <c r="F504"/>
    </row>
    <row r="505" spans="6:6" x14ac:dyDescent="0.2">
      <c r="F505"/>
    </row>
    <row r="506" spans="6:6" x14ac:dyDescent="0.2">
      <c r="F506"/>
    </row>
    <row r="507" spans="6:6" x14ac:dyDescent="0.2">
      <c r="F507"/>
    </row>
    <row r="508" spans="6:6" x14ac:dyDescent="0.2">
      <c r="F508"/>
    </row>
    <row r="509" spans="6:6" x14ac:dyDescent="0.2">
      <c r="F509"/>
    </row>
    <row r="510" spans="6:6" x14ac:dyDescent="0.2">
      <c r="F510"/>
    </row>
    <row r="511" spans="6:6" x14ac:dyDescent="0.2">
      <c r="F511"/>
    </row>
    <row r="512" spans="6:6" x14ac:dyDescent="0.2">
      <c r="F512"/>
    </row>
    <row r="513" spans="6:6" x14ac:dyDescent="0.2">
      <c r="F513"/>
    </row>
    <row r="514" spans="6:6" x14ac:dyDescent="0.2">
      <c r="F514"/>
    </row>
    <row r="515" spans="6:6" x14ac:dyDescent="0.2">
      <c r="F515"/>
    </row>
    <row r="516" spans="6:6" x14ac:dyDescent="0.2">
      <c r="F516"/>
    </row>
    <row r="517" spans="6:6" x14ac:dyDescent="0.2">
      <c r="F517"/>
    </row>
    <row r="518" spans="6:6" x14ac:dyDescent="0.2">
      <c r="F518"/>
    </row>
    <row r="519" spans="6:6" x14ac:dyDescent="0.2">
      <c r="F519"/>
    </row>
    <row r="520" spans="6:6" x14ac:dyDescent="0.2">
      <c r="F520"/>
    </row>
    <row r="521" spans="6:6" x14ac:dyDescent="0.2">
      <c r="F521"/>
    </row>
    <row r="522" spans="6:6" x14ac:dyDescent="0.2">
      <c r="F522"/>
    </row>
    <row r="523" spans="6:6" x14ac:dyDescent="0.2">
      <c r="F523"/>
    </row>
    <row r="524" spans="6:6" x14ac:dyDescent="0.2">
      <c r="F524"/>
    </row>
    <row r="525" spans="6:6" x14ac:dyDescent="0.2">
      <c r="F525"/>
    </row>
    <row r="526" spans="6:6" x14ac:dyDescent="0.2">
      <c r="F526"/>
    </row>
    <row r="527" spans="6:6" x14ac:dyDescent="0.2">
      <c r="F527"/>
    </row>
    <row r="528" spans="6:6" x14ac:dyDescent="0.2">
      <c r="F528"/>
    </row>
    <row r="529" spans="6:6" x14ac:dyDescent="0.2">
      <c r="F529"/>
    </row>
    <row r="530" spans="6:6" x14ac:dyDescent="0.2">
      <c r="F530"/>
    </row>
    <row r="531" spans="6:6" x14ac:dyDescent="0.2">
      <c r="F531"/>
    </row>
    <row r="532" spans="6:6" x14ac:dyDescent="0.2">
      <c r="F532"/>
    </row>
    <row r="533" spans="6:6" x14ac:dyDescent="0.2">
      <c r="F533"/>
    </row>
    <row r="534" spans="6:6" x14ac:dyDescent="0.2">
      <c r="F534"/>
    </row>
    <row r="535" spans="6:6" x14ac:dyDescent="0.2">
      <c r="F535"/>
    </row>
    <row r="536" spans="6:6" x14ac:dyDescent="0.2">
      <c r="F536"/>
    </row>
    <row r="537" spans="6:6" x14ac:dyDescent="0.2">
      <c r="F537"/>
    </row>
    <row r="538" spans="6:6" x14ac:dyDescent="0.2">
      <c r="F538"/>
    </row>
    <row r="539" spans="6:6" x14ac:dyDescent="0.2">
      <c r="F539"/>
    </row>
    <row r="540" spans="6:6" x14ac:dyDescent="0.2">
      <c r="F540"/>
    </row>
    <row r="541" spans="6:6" x14ac:dyDescent="0.2">
      <c r="F541"/>
    </row>
    <row r="542" spans="6:6" x14ac:dyDescent="0.2">
      <c r="F542"/>
    </row>
    <row r="543" spans="6:6" x14ac:dyDescent="0.2">
      <c r="F543"/>
    </row>
    <row r="544" spans="6:6" x14ac:dyDescent="0.2">
      <c r="F544"/>
    </row>
    <row r="545" spans="6:6" x14ac:dyDescent="0.2">
      <c r="F545"/>
    </row>
    <row r="546" spans="6:6" x14ac:dyDescent="0.2">
      <c r="F546"/>
    </row>
    <row r="547" spans="6:6" x14ac:dyDescent="0.2">
      <c r="F547"/>
    </row>
    <row r="548" spans="6:6" x14ac:dyDescent="0.2">
      <c r="F548"/>
    </row>
    <row r="549" spans="6:6" x14ac:dyDescent="0.2">
      <c r="F549"/>
    </row>
    <row r="550" spans="6:6" x14ac:dyDescent="0.2">
      <c r="F550"/>
    </row>
    <row r="551" spans="6:6" x14ac:dyDescent="0.2">
      <c r="F551"/>
    </row>
    <row r="552" spans="6:6" x14ac:dyDescent="0.2">
      <c r="F552"/>
    </row>
    <row r="553" spans="6:6" x14ac:dyDescent="0.2">
      <c r="F553"/>
    </row>
    <row r="554" spans="6:6" x14ac:dyDescent="0.2">
      <c r="F554"/>
    </row>
    <row r="555" spans="6:6" x14ac:dyDescent="0.2">
      <c r="F555"/>
    </row>
    <row r="556" spans="6:6" x14ac:dyDescent="0.2">
      <c r="F556"/>
    </row>
    <row r="557" spans="6:6" x14ac:dyDescent="0.2">
      <c r="F557"/>
    </row>
    <row r="558" spans="6:6" x14ac:dyDescent="0.2">
      <c r="F558"/>
    </row>
    <row r="559" spans="6:6" x14ac:dyDescent="0.2">
      <c r="F559"/>
    </row>
    <row r="560" spans="6:6" x14ac:dyDescent="0.2">
      <c r="F560"/>
    </row>
    <row r="561" spans="6:6" x14ac:dyDescent="0.2">
      <c r="F561"/>
    </row>
    <row r="562" spans="6:6" x14ac:dyDescent="0.2">
      <c r="F562"/>
    </row>
    <row r="563" spans="6:6" x14ac:dyDescent="0.2">
      <c r="F563"/>
    </row>
    <row r="564" spans="6:6" x14ac:dyDescent="0.2">
      <c r="F564"/>
    </row>
    <row r="565" spans="6:6" x14ac:dyDescent="0.2">
      <c r="F565"/>
    </row>
    <row r="566" spans="6:6" x14ac:dyDescent="0.2">
      <c r="F566"/>
    </row>
    <row r="567" spans="6:6" x14ac:dyDescent="0.2">
      <c r="F567"/>
    </row>
    <row r="568" spans="6:6" x14ac:dyDescent="0.2">
      <c r="F568"/>
    </row>
    <row r="569" spans="6:6" x14ac:dyDescent="0.2">
      <c r="F569"/>
    </row>
    <row r="570" spans="6:6" x14ac:dyDescent="0.2">
      <c r="F570"/>
    </row>
    <row r="571" spans="6:6" x14ac:dyDescent="0.2">
      <c r="F571"/>
    </row>
    <row r="572" spans="6:6" x14ac:dyDescent="0.2">
      <c r="F572"/>
    </row>
    <row r="573" spans="6:6" x14ac:dyDescent="0.2">
      <c r="F573"/>
    </row>
    <row r="574" spans="6:6" x14ac:dyDescent="0.2">
      <c r="F574"/>
    </row>
    <row r="575" spans="6:6" x14ac:dyDescent="0.2">
      <c r="F575"/>
    </row>
    <row r="576" spans="6:6" x14ac:dyDescent="0.2">
      <c r="F576"/>
    </row>
    <row r="577" spans="6:6" x14ac:dyDescent="0.2">
      <c r="F577"/>
    </row>
    <row r="578" spans="6:6" x14ac:dyDescent="0.2">
      <c r="F578"/>
    </row>
    <row r="579" spans="6:6" x14ac:dyDescent="0.2">
      <c r="F579"/>
    </row>
    <row r="580" spans="6:6" x14ac:dyDescent="0.2">
      <c r="F580"/>
    </row>
    <row r="581" spans="6:6" x14ac:dyDescent="0.2">
      <c r="F581"/>
    </row>
    <row r="582" spans="6:6" x14ac:dyDescent="0.2">
      <c r="F582"/>
    </row>
    <row r="583" spans="6:6" x14ac:dyDescent="0.2">
      <c r="F583"/>
    </row>
    <row r="584" spans="6:6" x14ac:dyDescent="0.2">
      <c r="F584"/>
    </row>
    <row r="585" spans="6:6" x14ac:dyDescent="0.2">
      <c r="F585"/>
    </row>
    <row r="586" spans="6:6" x14ac:dyDescent="0.2">
      <c r="F586"/>
    </row>
    <row r="587" spans="6:6" x14ac:dyDescent="0.2">
      <c r="F587"/>
    </row>
    <row r="588" spans="6:6" x14ac:dyDescent="0.2">
      <c r="F588"/>
    </row>
    <row r="589" spans="6:6" x14ac:dyDescent="0.2">
      <c r="F589"/>
    </row>
    <row r="590" spans="6:6" x14ac:dyDescent="0.2">
      <c r="F590"/>
    </row>
    <row r="591" spans="6:6" x14ac:dyDescent="0.2">
      <c r="F591"/>
    </row>
    <row r="592" spans="6:6" x14ac:dyDescent="0.2">
      <c r="F592"/>
    </row>
    <row r="593" spans="6:6" x14ac:dyDescent="0.2">
      <c r="F593"/>
    </row>
    <row r="594" spans="6:6" x14ac:dyDescent="0.2">
      <c r="F594"/>
    </row>
    <row r="595" spans="6:6" x14ac:dyDescent="0.2">
      <c r="F595"/>
    </row>
    <row r="596" spans="6:6" x14ac:dyDescent="0.2">
      <c r="F596"/>
    </row>
    <row r="597" spans="6:6" x14ac:dyDescent="0.2">
      <c r="F597"/>
    </row>
    <row r="598" spans="6:6" x14ac:dyDescent="0.2">
      <c r="F598"/>
    </row>
    <row r="599" spans="6:6" x14ac:dyDescent="0.2">
      <c r="F599"/>
    </row>
    <row r="600" spans="6:6" x14ac:dyDescent="0.2">
      <c r="F600"/>
    </row>
    <row r="601" spans="6:6" x14ac:dyDescent="0.2">
      <c r="F601"/>
    </row>
    <row r="602" spans="6:6" x14ac:dyDescent="0.2">
      <c r="F602"/>
    </row>
    <row r="603" spans="6:6" x14ac:dyDescent="0.2">
      <c r="F603"/>
    </row>
    <row r="604" spans="6:6" x14ac:dyDescent="0.2">
      <c r="F604"/>
    </row>
    <row r="605" spans="6:6" x14ac:dyDescent="0.2">
      <c r="F605"/>
    </row>
    <row r="606" spans="6:6" x14ac:dyDescent="0.2">
      <c r="F606"/>
    </row>
    <row r="607" spans="6:6" x14ac:dyDescent="0.2">
      <c r="F607"/>
    </row>
    <row r="608" spans="6:6" x14ac:dyDescent="0.2">
      <c r="F608"/>
    </row>
    <row r="609" spans="6:6" x14ac:dyDescent="0.2">
      <c r="F609"/>
    </row>
    <row r="610" spans="6:6" x14ac:dyDescent="0.2">
      <c r="F610"/>
    </row>
    <row r="611" spans="6:6" x14ac:dyDescent="0.2">
      <c r="F611"/>
    </row>
    <row r="612" spans="6:6" x14ac:dyDescent="0.2">
      <c r="F612"/>
    </row>
    <row r="613" spans="6:6" x14ac:dyDescent="0.2">
      <c r="F613"/>
    </row>
    <row r="614" spans="6:6" x14ac:dyDescent="0.2">
      <c r="F614"/>
    </row>
    <row r="615" spans="6:6" x14ac:dyDescent="0.2">
      <c r="F615"/>
    </row>
    <row r="616" spans="6:6" x14ac:dyDescent="0.2">
      <c r="F616"/>
    </row>
    <row r="617" spans="6:6" x14ac:dyDescent="0.2">
      <c r="F617"/>
    </row>
    <row r="618" spans="6:6" x14ac:dyDescent="0.2">
      <c r="F618"/>
    </row>
    <row r="619" spans="6:6" x14ac:dyDescent="0.2">
      <c r="F619"/>
    </row>
    <row r="620" spans="6:6" x14ac:dyDescent="0.2">
      <c r="F620"/>
    </row>
    <row r="621" spans="6:6" x14ac:dyDescent="0.2">
      <c r="F621"/>
    </row>
    <row r="622" spans="6:6" x14ac:dyDescent="0.2">
      <c r="F622"/>
    </row>
    <row r="623" spans="6:6" x14ac:dyDescent="0.2">
      <c r="F623"/>
    </row>
    <row r="624" spans="6:6" x14ac:dyDescent="0.2">
      <c r="F624"/>
    </row>
    <row r="625" spans="6:6" x14ac:dyDescent="0.2">
      <c r="F625"/>
    </row>
    <row r="626" spans="6:6" x14ac:dyDescent="0.2">
      <c r="F626"/>
    </row>
    <row r="627" spans="6:6" x14ac:dyDescent="0.2">
      <c r="F627"/>
    </row>
    <row r="628" spans="6:6" x14ac:dyDescent="0.2">
      <c r="F628"/>
    </row>
    <row r="629" spans="6:6" x14ac:dyDescent="0.2">
      <c r="F629"/>
    </row>
    <row r="630" spans="6:6" x14ac:dyDescent="0.2">
      <c r="F630"/>
    </row>
    <row r="631" spans="6:6" x14ac:dyDescent="0.2">
      <c r="F631"/>
    </row>
    <row r="632" spans="6:6" x14ac:dyDescent="0.2">
      <c r="F632"/>
    </row>
    <row r="633" spans="6:6" x14ac:dyDescent="0.2">
      <c r="F633"/>
    </row>
    <row r="634" spans="6:6" x14ac:dyDescent="0.2">
      <c r="F634"/>
    </row>
    <row r="635" spans="6:6" x14ac:dyDescent="0.2">
      <c r="F635"/>
    </row>
    <row r="636" spans="6:6" x14ac:dyDescent="0.2">
      <c r="F636"/>
    </row>
    <row r="637" spans="6:6" x14ac:dyDescent="0.2">
      <c r="F637"/>
    </row>
    <row r="638" spans="6:6" x14ac:dyDescent="0.2">
      <c r="F638"/>
    </row>
    <row r="639" spans="6:6" x14ac:dyDescent="0.2">
      <c r="F639"/>
    </row>
    <row r="640" spans="6:6" x14ac:dyDescent="0.2">
      <c r="F640"/>
    </row>
    <row r="641" spans="6:6" x14ac:dyDescent="0.2">
      <c r="F641"/>
    </row>
    <row r="642" spans="6:6" x14ac:dyDescent="0.2">
      <c r="F642"/>
    </row>
    <row r="643" spans="6:6" x14ac:dyDescent="0.2">
      <c r="F643"/>
    </row>
    <row r="644" spans="6:6" x14ac:dyDescent="0.2">
      <c r="F644"/>
    </row>
    <row r="645" spans="6:6" x14ac:dyDescent="0.2">
      <c r="F645"/>
    </row>
    <row r="646" spans="6:6" x14ac:dyDescent="0.2">
      <c r="F646"/>
    </row>
    <row r="647" spans="6:6" x14ac:dyDescent="0.2">
      <c r="F647"/>
    </row>
    <row r="648" spans="6:6" x14ac:dyDescent="0.2">
      <c r="F648"/>
    </row>
    <row r="649" spans="6:6" x14ac:dyDescent="0.2">
      <c r="F649"/>
    </row>
    <row r="650" spans="6:6" x14ac:dyDescent="0.2">
      <c r="F650"/>
    </row>
    <row r="651" spans="6:6" x14ac:dyDescent="0.2">
      <c r="F651"/>
    </row>
    <row r="652" spans="6:6" x14ac:dyDescent="0.2">
      <c r="F652"/>
    </row>
    <row r="653" spans="6:6" x14ac:dyDescent="0.2">
      <c r="F653"/>
    </row>
    <row r="654" spans="6:6" x14ac:dyDescent="0.2">
      <c r="F654"/>
    </row>
    <row r="655" spans="6:6" x14ac:dyDescent="0.2">
      <c r="F655"/>
    </row>
    <row r="656" spans="6:6" x14ac:dyDescent="0.2">
      <c r="F656"/>
    </row>
    <row r="657" spans="6:6" x14ac:dyDescent="0.2">
      <c r="F657"/>
    </row>
    <row r="658" spans="6:6" x14ac:dyDescent="0.2">
      <c r="F658"/>
    </row>
    <row r="659" spans="6:6" x14ac:dyDescent="0.2">
      <c r="F659"/>
    </row>
    <row r="660" spans="6:6" x14ac:dyDescent="0.2">
      <c r="F660"/>
    </row>
    <row r="661" spans="6:6" x14ac:dyDescent="0.2">
      <c r="F661"/>
    </row>
    <row r="662" spans="6:6" x14ac:dyDescent="0.2">
      <c r="F662"/>
    </row>
    <row r="663" spans="6:6" x14ac:dyDescent="0.2">
      <c r="F663"/>
    </row>
    <row r="664" spans="6:6" x14ac:dyDescent="0.2">
      <c r="F664"/>
    </row>
    <row r="665" spans="6:6" x14ac:dyDescent="0.2">
      <c r="F665"/>
    </row>
    <row r="666" spans="6:6" x14ac:dyDescent="0.2">
      <c r="F666"/>
    </row>
    <row r="667" spans="6:6" x14ac:dyDescent="0.2">
      <c r="F667"/>
    </row>
    <row r="668" spans="6:6" x14ac:dyDescent="0.2">
      <c r="F668"/>
    </row>
    <row r="669" spans="6:6" x14ac:dyDescent="0.2">
      <c r="F669"/>
    </row>
    <row r="670" spans="6:6" x14ac:dyDescent="0.2">
      <c r="F670"/>
    </row>
    <row r="671" spans="6:6" x14ac:dyDescent="0.2">
      <c r="F671"/>
    </row>
    <row r="672" spans="6:6" x14ac:dyDescent="0.2">
      <c r="F672"/>
    </row>
    <row r="673" spans="6:6" x14ac:dyDescent="0.2">
      <c r="F673"/>
    </row>
    <row r="674" spans="6:6" x14ac:dyDescent="0.2">
      <c r="F674"/>
    </row>
    <row r="675" spans="6:6" x14ac:dyDescent="0.2">
      <c r="F675"/>
    </row>
    <row r="676" spans="6:6" x14ac:dyDescent="0.2">
      <c r="F676"/>
    </row>
    <row r="677" spans="6:6" x14ac:dyDescent="0.2">
      <c r="F677"/>
    </row>
    <row r="678" spans="6:6" x14ac:dyDescent="0.2">
      <c r="F678"/>
    </row>
    <row r="679" spans="6:6" x14ac:dyDescent="0.2">
      <c r="F679"/>
    </row>
    <row r="680" spans="6:6" x14ac:dyDescent="0.2">
      <c r="F680"/>
    </row>
    <row r="681" spans="6:6" x14ac:dyDescent="0.2">
      <c r="F681"/>
    </row>
    <row r="682" spans="6:6" x14ac:dyDescent="0.2">
      <c r="F682"/>
    </row>
    <row r="683" spans="6:6" x14ac:dyDescent="0.2">
      <c r="F683"/>
    </row>
    <row r="684" spans="6:6" x14ac:dyDescent="0.2">
      <c r="F684"/>
    </row>
    <row r="685" spans="6:6" x14ac:dyDescent="0.2">
      <c r="F685"/>
    </row>
    <row r="686" spans="6:6" x14ac:dyDescent="0.2">
      <c r="F686"/>
    </row>
    <row r="687" spans="6:6" x14ac:dyDescent="0.2">
      <c r="F687"/>
    </row>
    <row r="688" spans="6:6" x14ac:dyDescent="0.2">
      <c r="F688"/>
    </row>
    <row r="689" spans="6:6" x14ac:dyDescent="0.2">
      <c r="F689"/>
    </row>
    <row r="690" spans="6:6" x14ac:dyDescent="0.2">
      <c r="F690"/>
    </row>
    <row r="691" spans="6:6" x14ac:dyDescent="0.2">
      <c r="F691"/>
    </row>
    <row r="692" spans="6:6" x14ac:dyDescent="0.2">
      <c r="F692"/>
    </row>
    <row r="693" spans="6:6" x14ac:dyDescent="0.2">
      <c r="F693"/>
    </row>
    <row r="694" spans="6:6" x14ac:dyDescent="0.2">
      <c r="F694"/>
    </row>
    <row r="695" spans="6:6" x14ac:dyDescent="0.2">
      <c r="F695"/>
    </row>
    <row r="696" spans="6:6" x14ac:dyDescent="0.2">
      <c r="F696"/>
    </row>
    <row r="697" spans="6:6" x14ac:dyDescent="0.2">
      <c r="F697"/>
    </row>
    <row r="698" spans="6:6" x14ac:dyDescent="0.2">
      <c r="F698"/>
    </row>
    <row r="699" spans="6:6" x14ac:dyDescent="0.2">
      <c r="F699"/>
    </row>
    <row r="700" spans="6:6" x14ac:dyDescent="0.2">
      <c r="F700"/>
    </row>
    <row r="701" spans="6:6" x14ac:dyDescent="0.2">
      <c r="F701"/>
    </row>
    <row r="702" spans="6:6" x14ac:dyDescent="0.2">
      <c r="F702"/>
    </row>
    <row r="703" spans="6:6" x14ac:dyDescent="0.2">
      <c r="F703"/>
    </row>
    <row r="704" spans="6:6" x14ac:dyDescent="0.2">
      <c r="F704"/>
    </row>
    <row r="705" spans="6:6" x14ac:dyDescent="0.2">
      <c r="F705"/>
    </row>
    <row r="706" spans="6:6" x14ac:dyDescent="0.2">
      <c r="F706"/>
    </row>
    <row r="707" spans="6:6" x14ac:dyDescent="0.2">
      <c r="F707"/>
    </row>
    <row r="708" spans="6:6" x14ac:dyDescent="0.2">
      <c r="F708"/>
    </row>
    <row r="709" spans="6:6" x14ac:dyDescent="0.2">
      <c r="F709"/>
    </row>
    <row r="710" spans="6:6" x14ac:dyDescent="0.2">
      <c r="F710"/>
    </row>
    <row r="711" spans="6:6" x14ac:dyDescent="0.2">
      <c r="F711"/>
    </row>
    <row r="712" spans="6:6" x14ac:dyDescent="0.2">
      <c r="F712"/>
    </row>
    <row r="713" spans="6:6" x14ac:dyDescent="0.2">
      <c r="F713"/>
    </row>
    <row r="714" spans="6:6" x14ac:dyDescent="0.2">
      <c r="F714"/>
    </row>
    <row r="715" spans="6:6" x14ac:dyDescent="0.2">
      <c r="F715"/>
    </row>
    <row r="716" spans="6:6" x14ac:dyDescent="0.2">
      <c r="F716"/>
    </row>
    <row r="717" spans="6:6" x14ac:dyDescent="0.2">
      <c r="F717"/>
    </row>
    <row r="718" spans="6:6" x14ac:dyDescent="0.2">
      <c r="F718"/>
    </row>
    <row r="719" spans="6:6" x14ac:dyDescent="0.2">
      <c r="F719"/>
    </row>
    <row r="720" spans="6:6" x14ac:dyDescent="0.2">
      <c r="F720"/>
    </row>
    <row r="721" spans="6:6" x14ac:dyDescent="0.2">
      <c r="F721"/>
    </row>
    <row r="722" spans="6:6" x14ac:dyDescent="0.2">
      <c r="F722"/>
    </row>
    <row r="723" spans="6:6" x14ac:dyDescent="0.2">
      <c r="F723"/>
    </row>
    <row r="724" spans="6:6" x14ac:dyDescent="0.2">
      <c r="F724"/>
    </row>
    <row r="725" spans="6:6" x14ac:dyDescent="0.2">
      <c r="F725"/>
    </row>
    <row r="726" spans="6:6" x14ac:dyDescent="0.2">
      <c r="F726"/>
    </row>
    <row r="727" spans="6:6" x14ac:dyDescent="0.2">
      <c r="F727"/>
    </row>
    <row r="728" spans="6:6" x14ac:dyDescent="0.2">
      <c r="F728"/>
    </row>
    <row r="729" spans="6:6" x14ac:dyDescent="0.2">
      <c r="F729"/>
    </row>
    <row r="730" spans="6:6" x14ac:dyDescent="0.2">
      <c r="F730"/>
    </row>
    <row r="731" spans="6:6" x14ac:dyDescent="0.2">
      <c r="F731"/>
    </row>
    <row r="732" spans="6:6" x14ac:dyDescent="0.2">
      <c r="F732"/>
    </row>
    <row r="733" spans="6:6" x14ac:dyDescent="0.2">
      <c r="F733"/>
    </row>
    <row r="734" spans="6:6" x14ac:dyDescent="0.2">
      <c r="F734"/>
    </row>
    <row r="735" spans="6:6" x14ac:dyDescent="0.2">
      <c r="F735"/>
    </row>
    <row r="736" spans="6:6" x14ac:dyDescent="0.2">
      <c r="F736"/>
    </row>
    <row r="737" spans="6:6" x14ac:dyDescent="0.2">
      <c r="F737"/>
    </row>
    <row r="738" spans="6:6" x14ac:dyDescent="0.2">
      <c r="F738"/>
    </row>
    <row r="739" spans="6:6" x14ac:dyDescent="0.2">
      <c r="F739"/>
    </row>
    <row r="740" spans="6:6" x14ac:dyDescent="0.2">
      <c r="F740"/>
    </row>
    <row r="741" spans="6:6" x14ac:dyDescent="0.2">
      <c r="F741"/>
    </row>
    <row r="742" spans="6:6" x14ac:dyDescent="0.2">
      <c r="F742"/>
    </row>
    <row r="743" spans="6:6" x14ac:dyDescent="0.2">
      <c r="F743"/>
    </row>
    <row r="744" spans="6:6" x14ac:dyDescent="0.2">
      <c r="F744"/>
    </row>
    <row r="745" spans="6:6" x14ac:dyDescent="0.2">
      <c r="F745"/>
    </row>
    <row r="746" spans="6:6" x14ac:dyDescent="0.2">
      <c r="F746"/>
    </row>
    <row r="747" spans="6:6" x14ac:dyDescent="0.2">
      <c r="F747"/>
    </row>
    <row r="748" spans="6:6" x14ac:dyDescent="0.2">
      <c r="F748"/>
    </row>
    <row r="749" spans="6:6" x14ac:dyDescent="0.2">
      <c r="F749"/>
    </row>
    <row r="750" spans="6:6" x14ac:dyDescent="0.2">
      <c r="F750"/>
    </row>
    <row r="751" spans="6:6" x14ac:dyDescent="0.2">
      <c r="F751"/>
    </row>
    <row r="752" spans="6:6" x14ac:dyDescent="0.2">
      <c r="F752"/>
    </row>
    <row r="753" spans="6:6" x14ac:dyDescent="0.2">
      <c r="F753"/>
    </row>
    <row r="754" spans="6:6" x14ac:dyDescent="0.2">
      <c r="F754"/>
    </row>
    <row r="755" spans="6:6" x14ac:dyDescent="0.2">
      <c r="F755"/>
    </row>
    <row r="756" spans="6:6" x14ac:dyDescent="0.2">
      <c r="F756"/>
    </row>
    <row r="757" spans="6:6" x14ac:dyDescent="0.2">
      <c r="F757"/>
    </row>
    <row r="758" spans="6:6" x14ac:dyDescent="0.2">
      <c r="F758"/>
    </row>
    <row r="759" spans="6:6" x14ac:dyDescent="0.2">
      <c r="F759"/>
    </row>
    <row r="760" spans="6:6" x14ac:dyDescent="0.2">
      <c r="F760"/>
    </row>
    <row r="761" spans="6:6" x14ac:dyDescent="0.2">
      <c r="F761"/>
    </row>
    <row r="762" spans="6:6" x14ac:dyDescent="0.2">
      <c r="F762"/>
    </row>
    <row r="763" spans="6:6" x14ac:dyDescent="0.2">
      <c r="F763"/>
    </row>
    <row r="764" spans="6:6" x14ac:dyDescent="0.2">
      <c r="F764"/>
    </row>
    <row r="765" spans="6:6" x14ac:dyDescent="0.2">
      <c r="F765"/>
    </row>
    <row r="766" spans="6:6" x14ac:dyDescent="0.2">
      <c r="F766"/>
    </row>
    <row r="767" spans="6:6" x14ac:dyDescent="0.2">
      <c r="F767"/>
    </row>
    <row r="768" spans="6:6" x14ac:dyDescent="0.2">
      <c r="F768"/>
    </row>
    <row r="769" spans="6:6" x14ac:dyDescent="0.2">
      <c r="F769"/>
    </row>
    <row r="770" spans="6:6" x14ac:dyDescent="0.2">
      <c r="F770"/>
    </row>
    <row r="771" spans="6:6" x14ac:dyDescent="0.2">
      <c r="F771"/>
    </row>
    <row r="772" spans="6:6" x14ac:dyDescent="0.2">
      <c r="F772"/>
    </row>
    <row r="773" spans="6:6" x14ac:dyDescent="0.2">
      <c r="F773"/>
    </row>
    <row r="774" spans="6:6" x14ac:dyDescent="0.2">
      <c r="F774"/>
    </row>
    <row r="775" spans="6:6" x14ac:dyDescent="0.2">
      <c r="F775"/>
    </row>
    <row r="776" spans="6:6" x14ac:dyDescent="0.2">
      <c r="F776"/>
    </row>
    <row r="777" spans="6:6" x14ac:dyDescent="0.2">
      <c r="F777"/>
    </row>
    <row r="778" spans="6:6" x14ac:dyDescent="0.2">
      <c r="F778"/>
    </row>
    <row r="779" spans="6:6" x14ac:dyDescent="0.2">
      <c r="F779"/>
    </row>
    <row r="780" spans="6:6" x14ac:dyDescent="0.2">
      <c r="F780"/>
    </row>
    <row r="781" spans="6:6" x14ac:dyDescent="0.2">
      <c r="F781"/>
    </row>
    <row r="782" spans="6:6" x14ac:dyDescent="0.2">
      <c r="F782"/>
    </row>
    <row r="783" spans="6:6" x14ac:dyDescent="0.2">
      <c r="F783"/>
    </row>
    <row r="784" spans="6:6" x14ac:dyDescent="0.2">
      <c r="F784"/>
    </row>
    <row r="785" spans="6:6" x14ac:dyDescent="0.2">
      <c r="F785"/>
    </row>
    <row r="786" spans="6:6" x14ac:dyDescent="0.2">
      <c r="F786"/>
    </row>
    <row r="787" spans="6:6" x14ac:dyDescent="0.2">
      <c r="F787"/>
    </row>
    <row r="788" spans="6:6" x14ac:dyDescent="0.2">
      <c r="F788"/>
    </row>
    <row r="789" spans="6:6" x14ac:dyDescent="0.2">
      <c r="F789"/>
    </row>
    <row r="790" spans="6:6" x14ac:dyDescent="0.2">
      <c r="F790"/>
    </row>
    <row r="791" spans="6:6" x14ac:dyDescent="0.2">
      <c r="F791"/>
    </row>
    <row r="792" spans="6:6" x14ac:dyDescent="0.2">
      <c r="F792"/>
    </row>
    <row r="793" spans="6:6" x14ac:dyDescent="0.2">
      <c r="F793"/>
    </row>
    <row r="794" spans="6:6" x14ac:dyDescent="0.2">
      <c r="F794"/>
    </row>
    <row r="795" spans="6:6" x14ac:dyDescent="0.2">
      <c r="F795"/>
    </row>
    <row r="796" spans="6:6" x14ac:dyDescent="0.2">
      <c r="F796"/>
    </row>
    <row r="797" spans="6:6" x14ac:dyDescent="0.2">
      <c r="F797"/>
    </row>
    <row r="798" spans="6:6" x14ac:dyDescent="0.2">
      <c r="F798"/>
    </row>
    <row r="799" spans="6:6" x14ac:dyDescent="0.2">
      <c r="F799"/>
    </row>
    <row r="800" spans="6:6" x14ac:dyDescent="0.2">
      <c r="F800"/>
    </row>
    <row r="801" spans="6:6" x14ac:dyDescent="0.2">
      <c r="F801"/>
    </row>
    <row r="802" spans="6:6" x14ac:dyDescent="0.2">
      <c r="F802"/>
    </row>
    <row r="803" spans="6:6" x14ac:dyDescent="0.2">
      <c r="F803"/>
    </row>
    <row r="804" spans="6:6" x14ac:dyDescent="0.2">
      <c r="F804"/>
    </row>
    <row r="805" spans="6:6" x14ac:dyDescent="0.2">
      <c r="F805"/>
    </row>
    <row r="806" spans="6:6" x14ac:dyDescent="0.2">
      <c r="F806"/>
    </row>
    <row r="807" spans="6:6" x14ac:dyDescent="0.2">
      <c r="F807"/>
    </row>
    <row r="808" spans="6:6" x14ac:dyDescent="0.2">
      <c r="F808"/>
    </row>
    <row r="809" spans="6:6" x14ac:dyDescent="0.2">
      <c r="F809"/>
    </row>
    <row r="810" spans="6:6" x14ac:dyDescent="0.2">
      <c r="F810"/>
    </row>
    <row r="811" spans="6:6" x14ac:dyDescent="0.2">
      <c r="F811"/>
    </row>
    <row r="812" spans="6:6" x14ac:dyDescent="0.2">
      <c r="F812"/>
    </row>
    <row r="813" spans="6:6" x14ac:dyDescent="0.2">
      <c r="F813"/>
    </row>
    <row r="814" spans="6:6" x14ac:dyDescent="0.2">
      <c r="F814"/>
    </row>
    <row r="815" spans="6:6" x14ac:dyDescent="0.2">
      <c r="F815"/>
    </row>
    <row r="816" spans="6:6" x14ac:dyDescent="0.2">
      <c r="F816"/>
    </row>
    <row r="817" spans="6:6" x14ac:dyDescent="0.2">
      <c r="F817"/>
    </row>
    <row r="818" spans="6:6" x14ac:dyDescent="0.2">
      <c r="F818"/>
    </row>
    <row r="819" spans="6:6" x14ac:dyDescent="0.2">
      <c r="F819"/>
    </row>
    <row r="820" spans="6:6" x14ac:dyDescent="0.2">
      <c r="F820"/>
    </row>
    <row r="821" spans="6:6" x14ac:dyDescent="0.2">
      <c r="F821"/>
    </row>
    <row r="822" spans="6:6" x14ac:dyDescent="0.2">
      <c r="F822"/>
    </row>
    <row r="823" spans="6:6" x14ac:dyDescent="0.2">
      <c r="F823"/>
    </row>
    <row r="824" spans="6:6" x14ac:dyDescent="0.2">
      <c r="F824"/>
    </row>
    <row r="825" spans="6:6" x14ac:dyDescent="0.2">
      <c r="F825"/>
    </row>
    <row r="826" spans="6:6" x14ac:dyDescent="0.2">
      <c r="F826"/>
    </row>
    <row r="827" spans="6:6" x14ac:dyDescent="0.2">
      <c r="F827"/>
    </row>
    <row r="828" spans="6:6" x14ac:dyDescent="0.2">
      <c r="F828"/>
    </row>
    <row r="829" spans="6:6" x14ac:dyDescent="0.2">
      <c r="F829"/>
    </row>
    <row r="830" spans="6:6" x14ac:dyDescent="0.2">
      <c r="F830"/>
    </row>
    <row r="831" spans="6:6" x14ac:dyDescent="0.2">
      <c r="F831"/>
    </row>
    <row r="832" spans="6:6" x14ac:dyDescent="0.2">
      <c r="F832"/>
    </row>
    <row r="833" spans="6:6" x14ac:dyDescent="0.2">
      <c r="F833"/>
    </row>
    <row r="834" spans="6:6" x14ac:dyDescent="0.2">
      <c r="F834"/>
    </row>
    <row r="835" spans="6:6" x14ac:dyDescent="0.2">
      <c r="F835"/>
    </row>
    <row r="836" spans="6:6" x14ac:dyDescent="0.2">
      <c r="F836"/>
    </row>
    <row r="837" spans="6:6" x14ac:dyDescent="0.2">
      <c r="F837"/>
    </row>
    <row r="838" spans="6:6" x14ac:dyDescent="0.2">
      <c r="F838"/>
    </row>
    <row r="839" spans="6:6" x14ac:dyDescent="0.2">
      <c r="F839"/>
    </row>
    <row r="840" spans="6:6" x14ac:dyDescent="0.2">
      <c r="F840"/>
    </row>
    <row r="841" spans="6:6" x14ac:dyDescent="0.2">
      <c r="F841"/>
    </row>
    <row r="842" spans="6:6" x14ac:dyDescent="0.2">
      <c r="F842"/>
    </row>
    <row r="843" spans="6:6" x14ac:dyDescent="0.2">
      <c r="F843"/>
    </row>
    <row r="844" spans="6:6" x14ac:dyDescent="0.2">
      <c r="F844"/>
    </row>
    <row r="845" spans="6:6" x14ac:dyDescent="0.2">
      <c r="F845"/>
    </row>
    <row r="846" spans="6:6" x14ac:dyDescent="0.2">
      <c r="F846"/>
    </row>
    <row r="847" spans="6:6" x14ac:dyDescent="0.2">
      <c r="F847"/>
    </row>
    <row r="848" spans="6:6" x14ac:dyDescent="0.2">
      <c r="F848"/>
    </row>
    <row r="849" spans="6:6" x14ac:dyDescent="0.2">
      <c r="F849"/>
    </row>
    <row r="850" spans="6:6" x14ac:dyDescent="0.2">
      <c r="F850"/>
    </row>
    <row r="851" spans="6:6" x14ac:dyDescent="0.2">
      <c r="F851"/>
    </row>
    <row r="852" spans="6:6" x14ac:dyDescent="0.2">
      <c r="F852"/>
    </row>
    <row r="853" spans="6:6" x14ac:dyDescent="0.2">
      <c r="F853"/>
    </row>
    <row r="854" spans="6:6" x14ac:dyDescent="0.2">
      <c r="F854"/>
    </row>
    <row r="855" spans="6:6" x14ac:dyDescent="0.2">
      <c r="F855"/>
    </row>
    <row r="856" spans="6:6" x14ac:dyDescent="0.2">
      <c r="F856"/>
    </row>
    <row r="857" spans="6:6" x14ac:dyDescent="0.2">
      <c r="F857"/>
    </row>
    <row r="858" spans="6:6" x14ac:dyDescent="0.2">
      <c r="F858"/>
    </row>
    <row r="859" spans="6:6" x14ac:dyDescent="0.2">
      <c r="F859"/>
    </row>
    <row r="860" spans="6:6" x14ac:dyDescent="0.2">
      <c r="F860"/>
    </row>
    <row r="861" spans="6:6" x14ac:dyDescent="0.2">
      <c r="F861"/>
    </row>
    <row r="862" spans="6:6" x14ac:dyDescent="0.2">
      <c r="F862"/>
    </row>
    <row r="863" spans="6:6" x14ac:dyDescent="0.2">
      <c r="F863"/>
    </row>
    <row r="864" spans="6:6" x14ac:dyDescent="0.2">
      <c r="F864"/>
    </row>
    <row r="865" spans="6:6" x14ac:dyDescent="0.2">
      <c r="F865"/>
    </row>
    <row r="866" spans="6:6" x14ac:dyDescent="0.2">
      <c r="F866"/>
    </row>
    <row r="867" spans="6:6" x14ac:dyDescent="0.2">
      <c r="F867"/>
    </row>
    <row r="868" spans="6:6" x14ac:dyDescent="0.2">
      <c r="F868"/>
    </row>
    <row r="869" spans="6:6" x14ac:dyDescent="0.2">
      <c r="F869"/>
    </row>
    <row r="870" spans="6:6" x14ac:dyDescent="0.2">
      <c r="F870"/>
    </row>
    <row r="871" spans="6:6" x14ac:dyDescent="0.2">
      <c r="F871"/>
    </row>
    <row r="872" spans="6:6" x14ac:dyDescent="0.2">
      <c r="F872"/>
    </row>
    <row r="873" spans="6:6" x14ac:dyDescent="0.2">
      <c r="F873"/>
    </row>
    <row r="874" spans="6:6" x14ac:dyDescent="0.2">
      <c r="F874"/>
    </row>
    <row r="875" spans="6:6" x14ac:dyDescent="0.2">
      <c r="F875"/>
    </row>
    <row r="876" spans="6:6" x14ac:dyDescent="0.2">
      <c r="F876"/>
    </row>
    <row r="877" spans="6:6" x14ac:dyDescent="0.2">
      <c r="F877"/>
    </row>
    <row r="878" spans="6:6" x14ac:dyDescent="0.2">
      <c r="F878"/>
    </row>
    <row r="879" spans="6:6" x14ac:dyDescent="0.2">
      <c r="F879"/>
    </row>
    <row r="880" spans="6:6" x14ac:dyDescent="0.2">
      <c r="F880"/>
    </row>
    <row r="881" spans="6:6" x14ac:dyDescent="0.2">
      <c r="F881"/>
    </row>
    <row r="882" spans="6:6" x14ac:dyDescent="0.2">
      <c r="F882"/>
    </row>
    <row r="883" spans="6:6" x14ac:dyDescent="0.2">
      <c r="F883"/>
    </row>
    <row r="884" spans="6:6" x14ac:dyDescent="0.2">
      <c r="F884"/>
    </row>
    <row r="885" spans="6:6" x14ac:dyDescent="0.2">
      <c r="F885"/>
    </row>
    <row r="886" spans="6:6" x14ac:dyDescent="0.2">
      <c r="F886"/>
    </row>
    <row r="887" spans="6:6" x14ac:dyDescent="0.2">
      <c r="F887"/>
    </row>
    <row r="888" spans="6:6" x14ac:dyDescent="0.2">
      <c r="F888"/>
    </row>
    <row r="889" spans="6:6" x14ac:dyDescent="0.2">
      <c r="F889"/>
    </row>
    <row r="890" spans="6:6" x14ac:dyDescent="0.2">
      <c r="F890"/>
    </row>
    <row r="891" spans="6:6" x14ac:dyDescent="0.2">
      <c r="F891"/>
    </row>
    <row r="892" spans="6:6" x14ac:dyDescent="0.2">
      <c r="F892"/>
    </row>
    <row r="893" spans="6:6" x14ac:dyDescent="0.2">
      <c r="F893"/>
    </row>
    <row r="894" spans="6:6" x14ac:dyDescent="0.2">
      <c r="F894"/>
    </row>
    <row r="895" spans="6:6" x14ac:dyDescent="0.2">
      <c r="F895"/>
    </row>
    <row r="896" spans="6:6" x14ac:dyDescent="0.2">
      <c r="F896"/>
    </row>
    <row r="897" spans="6:6" x14ac:dyDescent="0.2">
      <c r="F897"/>
    </row>
    <row r="898" spans="6:6" x14ac:dyDescent="0.2">
      <c r="F898"/>
    </row>
    <row r="899" spans="6:6" x14ac:dyDescent="0.2">
      <c r="F899"/>
    </row>
    <row r="900" spans="6:6" x14ac:dyDescent="0.2">
      <c r="F900"/>
    </row>
    <row r="901" spans="6:6" x14ac:dyDescent="0.2">
      <c r="F901"/>
    </row>
    <row r="902" spans="6:6" x14ac:dyDescent="0.2">
      <c r="F902"/>
    </row>
    <row r="903" spans="6:6" x14ac:dyDescent="0.2">
      <c r="F903"/>
    </row>
    <row r="904" spans="6:6" x14ac:dyDescent="0.2">
      <c r="F904"/>
    </row>
    <row r="905" spans="6:6" x14ac:dyDescent="0.2">
      <c r="F905"/>
    </row>
    <row r="906" spans="6:6" x14ac:dyDescent="0.2">
      <c r="F906"/>
    </row>
    <row r="907" spans="6:6" x14ac:dyDescent="0.2">
      <c r="F907"/>
    </row>
    <row r="908" spans="6:6" x14ac:dyDescent="0.2">
      <c r="F908"/>
    </row>
    <row r="909" spans="6:6" x14ac:dyDescent="0.2">
      <c r="F909"/>
    </row>
    <row r="910" spans="6:6" x14ac:dyDescent="0.2">
      <c r="F910"/>
    </row>
    <row r="911" spans="6:6" x14ac:dyDescent="0.2">
      <c r="F911"/>
    </row>
    <row r="912" spans="6:6" x14ac:dyDescent="0.2">
      <c r="F912"/>
    </row>
    <row r="913" spans="6:6" x14ac:dyDescent="0.2">
      <c r="F913"/>
    </row>
    <row r="914" spans="6:6" x14ac:dyDescent="0.2">
      <c r="F914"/>
    </row>
    <row r="915" spans="6:6" x14ac:dyDescent="0.2">
      <c r="F915"/>
    </row>
    <row r="916" spans="6:6" x14ac:dyDescent="0.2">
      <c r="F916"/>
    </row>
    <row r="917" spans="6:6" x14ac:dyDescent="0.2">
      <c r="F917"/>
    </row>
    <row r="918" spans="6:6" x14ac:dyDescent="0.2">
      <c r="F918"/>
    </row>
    <row r="919" spans="6:6" x14ac:dyDescent="0.2">
      <c r="F919"/>
    </row>
    <row r="920" spans="6:6" x14ac:dyDescent="0.2">
      <c r="F920"/>
    </row>
    <row r="921" spans="6:6" x14ac:dyDescent="0.2">
      <c r="F921"/>
    </row>
    <row r="922" spans="6:6" x14ac:dyDescent="0.2">
      <c r="F922"/>
    </row>
    <row r="923" spans="6:6" x14ac:dyDescent="0.2">
      <c r="F923"/>
    </row>
    <row r="924" spans="6:6" x14ac:dyDescent="0.2">
      <c r="F924"/>
    </row>
    <row r="925" spans="6:6" x14ac:dyDescent="0.2">
      <c r="F925"/>
    </row>
    <row r="926" spans="6:6" x14ac:dyDescent="0.2">
      <c r="F926"/>
    </row>
    <row r="927" spans="6:6" x14ac:dyDescent="0.2">
      <c r="F927"/>
    </row>
    <row r="928" spans="6:6" x14ac:dyDescent="0.2">
      <c r="F928"/>
    </row>
    <row r="929" spans="6:6" x14ac:dyDescent="0.2">
      <c r="F929"/>
    </row>
    <row r="930" spans="6:6" x14ac:dyDescent="0.2">
      <c r="F930"/>
    </row>
    <row r="931" spans="6:6" x14ac:dyDescent="0.2">
      <c r="F931"/>
    </row>
    <row r="932" spans="6:6" x14ac:dyDescent="0.2">
      <c r="F932"/>
    </row>
    <row r="933" spans="6:6" x14ac:dyDescent="0.2">
      <c r="F933"/>
    </row>
    <row r="934" spans="6:6" x14ac:dyDescent="0.2">
      <c r="F934"/>
    </row>
    <row r="935" spans="6:6" x14ac:dyDescent="0.2">
      <c r="F935"/>
    </row>
    <row r="936" spans="6:6" x14ac:dyDescent="0.2">
      <c r="F936"/>
    </row>
    <row r="937" spans="6:6" x14ac:dyDescent="0.2">
      <c r="F937"/>
    </row>
    <row r="938" spans="6:6" x14ac:dyDescent="0.2">
      <c r="F938"/>
    </row>
    <row r="939" spans="6:6" x14ac:dyDescent="0.2">
      <c r="F939"/>
    </row>
    <row r="940" spans="6:6" x14ac:dyDescent="0.2">
      <c r="F940"/>
    </row>
    <row r="941" spans="6:6" x14ac:dyDescent="0.2">
      <c r="F941"/>
    </row>
    <row r="942" spans="6:6" x14ac:dyDescent="0.2">
      <c r="F942"/>
    </row>
    <row r="943" spans="6:6" x14ac:dyDescent="0.2">
      <c r="F943"/>
    </row>
    <row r="944" spans="6:6" x14ac:dyDescent="0.2">
      <c r="F944"/>
    </row>
    <row r="945" spans="6:6" x14ac:dyDescent="0.2">
      <c r="F945"/>
    </row>
    <row r="946" spans="6:6" x14ac:dyDescent="0.2">
      <c r="F946"/>
    </row>
    <row r="947" spans="6:6" x14ac:dyDescent="0.2">
      <c r="F947"/>
    </row>
    <row r="948" spans="6:6" x14ac:dyDescent="0.2">
      <c r="F948"/>
    </row>
    <row r="949" spans="6:6" x14ac:dyDescent="0.2">
      <c r="F949"/>
    </row>
    <row r="950" spans="6:6" x14ac:dyDescent="0.2">
      <c r="F950"/>
    </row>
    <row r="951" spans="6:6" x14ac:dyDescent="0.2">
      <c r="F951"/>
    </row>
    <row r="952" spans="6:6" x14ac:dyDescent="0.2">
      <c r="F952"/>
    </row>
    <row r="953" spans="6:6" x14ac:dyDescent="0.2">
      <c r="F953"/>
    </row>
    <row r="954" spans="6:6" x14ac:dyDescent="0.2">
      <c r="F954"/>
    </row>
    <row r="955" spans="6:6" x14ac:dyDescent="0.2">
      <c r="F955"/>
    </row>
    <row r="956" spans="6:6" x14ac:dyDescent="0.2">
      <c r="F956"/>
    </row>
    <row r="957" spans="6:6" x14ac:dyDescent="0.2">
      <c r="F957"/>
    </row>
    <row r="958" spans="6:6" x14ac:dyDescent="0.2">
      <c r="F958"/>
    </row>
    <row r="959" spans="6:6" x14ac:dyDescent="0.2">
      <c r="F959"/>
    </row>
    <row r="960" spans="6:6" x14ac:dyDescent="0.2">
      <c r="F960"/>
    </row>
    <row r="961" spans="6:6" x14ac:dyDescent="0.2">
      <c r="F961"/>
    </row>
    <row r="962" spans="6:6" x14ac:dyDescent="0.2">
      <c r="F962"/>
    </row>
    <row r="963" spans="6:6" x14ac:dyDescent="0.2">
      <c r="F963"/>
    </row>
    <row r="964" spans="6:6" x14ac:dyDescent="0.2">
      <c r="F964"/>
    </row>
    <row r="965" spans="6:6" x14ac:dyDescent="0.2">
      <c r="F965"/>
    </row>
    <row r="966" spans="6:6" x14ac:dyDescent="0.2">
      <c r="F966"/>
    </row>
    <row r="967" spans="6:6" x14ac:dyDescent="0.2">
      <c r="F967"/>
    </row>
    <row r="968" spans="6:6" x14ac:dyDescent="0.2">
      <c r="F968"/>
    </row>
    <row r="969" spans="6:6" x14ac:dyDescent="0.2">
      <c r="F969"/>
    </row>
    <row r="970" spans="6:6" x14ac:dyDescent="0.2">
      <c r="F970"/>
    </row>
    <row r="971" spans="6:6" x14ac:dyDescent="0.2">
      <c r="F971"/>
    </row>
    <row r="972" spans="6:6" x14ac:dyDescent="0.2">
      <c r="F972"/>
    </row>
    <row r="973" spans="6:6" x14ac:dyDescent="0.2">
      <c r="F973"/>
    </row>
    <row r="974" spans="6:6" x14ac:dyDescent="0.2">
      <c r="F974"/>
    </row>
    <row r="975" spans="6:6" x14ac:dyDescent="0.2">
      <c r="F975"/>
    </row>
    <row r="976" spans="6:6" x14ac:dyDescent="0.2">
      <c r="F976"/>
    </row>
    <row r="977" spans="6:6" x14ac:dyDescent="0.2">
      <c r="F977"/>
    </row>
    <row r="978" spans="6:6" x14ac:dyDescent="0.2">
      <c r="F978"/>
    </row>
    <row r="979" spans="6:6" x14ac:dyDescent="0.2">
      <c r="F979"/>
    </row>
    <row r="980" spans="6:6" x14ac:dyDescent="0.2">
      <c r="F980"/>
    </row>
    <row r="981" spans="6:6" x14ac:dyDescent="0.2">
      <c r="F981"/>
    </row>
    <row r="982" spans="6:6" x14ac:dyDescent="0.2">
      <c r="F982"/>
    </row>
    <row r="983" spans="6:6" x14ac:dyDescent="0.2">
      <c r="F983"/>
    </row>
    <row r="984" spans="6:6" x14ac:dyDescent="0.2">
      <c r="F984"/>
    </row>
    <row r="985" spans="6:6" x14ac:dyDescent="0.2">
      <c r="F985"/>
    </row>
    <row r="986" spans="6:6" x14ac:dyDescent="0.2">
      <c r="F986"/>
    </row>
    <row r="987" spans="6:6" x14ac:dyDescent="0.2">
      <c r="F987"/>
    </row>
    <row r="988" spans="6:6" x14ac:dyDescent="0.2">
      <c r="F988"/>
    </row>
    <row r="989" spans="6:6" x14ac:dyDescent="0.2">
      <c r="F989"/>
    </row>
    <row r="990" spans="6:6" x14ac:dyDescent="0.2">
      <c r="F990"/>
    </row>
    <row r="991" spans="6:6" x14ac:dyDescent="0.2">
      <c r="F991"/>
    </row>
    <row r="992" spans="6:6" x14ac:dyDescent="0.2">
      <c r="F992"/>
    </row>
    <row r="993" spans="6:6" x14ac:dyDescent="0.2">
      <c r="F993"/>
    </row>
    <row r="994" spans="6:6" x14ac:dyDescent="0.2">
      <c r="F994"/>
    </row>
    <row r="995" spans="6:6" x14ac:dyDescent="0.2">
      <c r="F995"/>
    </row>
    <row r="996" spans="6:6" x14ac:dyDescent="0.2">
      <c r="F996"/>
    </row>
    <row r="997" spans="6:6" x14ac:dyDescent="0.2">
      <c r="F997"/>
    </row>
    <row r="998" spans="6:6" x14ac:dyDescent="0.2">
      <c r="F998"/>
    </row>
    <row r="999" spans="6:6" x14ac:dyDescent="0.2">
      <c r="F999"/>
    </row>
    <row r="1000" spans="6:6" x14ac:dyDescent="0.2">
      <c r="F1000"/>
    </row>
    <row r="1001" spans="6:6" x14ac:dyDescent="0.2">
      <c r="F1001"/>
    </row>
    <row r="1002" spans="6:6" x14ac:dyDescent="0.2">
      <c r="F1002"/>
    </row>
    <row r="1003" spans="6:6" x14ac:dyDescent="0.2">
      <c r="F1003"/>
    </row>
    <row r="1004" spans="6:6" x14ac:dyDescent="0.2">
      <c r="F1004"/>
    </row>
    <row r="1005" spans="6:6" x14ac:dyDescent="0.2">
      <c r="F1005"/>
    </row>
    <row r="1006" spans="6:6" x14ac:dyDescent="0.2">
      <c r="F1006"/>
    </row>
    <row r="1007" spans="6:6" x14ac:dyDescent="0.2">
      <c r="F1007"/>
    </row>
    <row r="1008" spans="6:6" x14ac:dyDescent="0.2">
      <c r="F1008"/>
    </row>
    <row r="1009" spans="6:6" x14ac:dyDescent="0.2">
      <c r="F1009"/>
    </row>
    <row r="1010" spans="6:6" x14ac:dyDescent="0.2">
      <c r="F1010"/>
    </row>
    <row r="1011" spans="6:6" x14ac:dyDescent="0.2">
      <c r="F1011"/>
    </row>
    <row r="1012" spans="6:6" x14ac:dyDescent="0.2">
      <c r="F1012"/>
    </row>
    <row r="1013" spans="6:6" x14ac:dyDescent="0.2">
      <c r="F1013"/>
    </row>
    <row r="1014" spans="6:6" x14ac:dyDescent="0.2">
      <c r="F1014"/>
    </row>
    <row r="1015" spans="6:6" x14ac:dyDescent="0.2">
      <c r="F1015"/>
    </row>
    <row r="1016" spans="6:6" x14ac:dyDescent="0.2">
      <c r="F1016"/>
    </row>
    <row r="1017" spans="6:6" x14ac:dyDescent="0.2">
      <c r="F1017"/>
    </row>
    <row r="1018" spans="6:6" x14ac:dyDescent="0.2">
      <c r="F1018"/>
    </row>
    <row r="1019" spans="6:6" x14ac:dyDescent="0.2">
      <c r="F1019"/>
    </row>
    <row r="1020" spans="6:6" x14ac:dyDescent="0.2">
      <c r="F1020"/>
    </row>
    <row r="1021" spans="6:6" x14ac:dyDescent="0.2">
      <c r="F1021"/>
    </row>
    <row r="1022" spans="6:6" x14ac:dyDescent="0.2">
      <c r="F1022"/>
    </row>
    <row r="1023" spans="6:6" x14ac:dyDescent="0.2">
      <c r="F1023"/>
    </row>
    <row r="1024" spans="6:6" x14ac:dyDescent="0.2">
      <c r="F1024"/>
    </row>
    <row r="1025" spans="6:6" x14ac:dyDescent="0.2">
      <c r="F1025"/>
    </row>
    <row r="1026" spans="6:6" x14ac:dyDescent="0.2">
      <c r="F1026"/>
    </row>
    <row r="1027" spans="6:6" x14ac:dyDescent="0.2">
      <c r="F1027"/>
    </row>
    <row r="1028" spans="6:6" x14ac:dyDescent="0.2">
      <c r="F1028"/>
    </row>
    <row r="1029" spans="6:6" x14ac:dyDescent="0.2">
      <c r="F1029"/>
    </row>
    <row r="1030" spans="6:6" x14ac:dyDescent="0.2">
      <c r="F1030"/>
    </row>
    <row r="1031" spans="6:6" x14ac:dyDescent="0.2">
      <c r="F1031"/>
    </row>
    <row r="1032" spans="6:6" x14ac:dyDescent="0.2">
      <c r="F1032"/>
    </row>
    <row r="1033" spans="6:6" x14ac:dyDescent="0.2">
      <c r="F1033"/>
    </row>
    <row r="1034" spans="6:6" x14ac:dyDescent="0.2">
      <c r="F1034"/>
    </row>
    <row r="1035" spans="6:6" x14ac:dyDescent="0.2">
      <c r="F1035"/>
    </row>
    <row r="1036" spans="6:6" x14ac:dyDescent="0.2">
      <c r="F1036"/>
    </row>
    <row r="1037" spans="6:6" x14ac:dyDescent="0.2">
      <c r="F1037"/>
    </row>
    <row r="1038" spans="6:6" x14ac:dyDescent="0.2">
      <c r="F1038"/>
    </row>
    <row r="1039" spans="6:6" x14ac:dyDescent="0.2">
      <c r="F1039"/>
    </row>
    <row r="1040" spans="6:6" x14ac:dyDescent="0.2">
      <c r="F1040"/>
    </row>
    <row r="1041" spans="6:6" x14ac:dyDescent="0.2">
      <c r="F1041"/>
    </row>
    <row r="1042" spans="6:6" x14ac:dyDescent="0.2">
      <c r="F1042"/>
    </row>
    <row r="1043" spans="6:6" x14ac:dyDescent="0.2">
      <c r="F1043"/>
    </row>
    <row r="1044" spans="6:6" x14ac:dyDescent="0.2">
      <c r="F1044"/>
    </row>
    <row r="1045" spans="6:6" x14ac:dyDescent="0.2">
      <c r="F1045"/>
    </row>
    <row r="1046" spans="6:6" x14ac:dyDescent="0.2">
      <c r="F1046"/>
    </row>
    <row r="1047" spans="6:6" x14ac:dyDescent="0.2">
      <c r="F1047"/>
    </row>
    <row r="1048" spans="6:6" x14ac:dyDescent="0.2">
      <c r="F1048"/>
    </row>
    <row r="1049" spans="6:6" x14ac:dyDescent="0.2">
      <c r="F1049"/>
    </row>
    <row r="1050" spans="6:6" x14ac:dyDescent="0.2">
      <c r="F1050"/>
    </row>
    <row r="1051" spans="6:6" x14ac:dyDescent="0.2">
      <c r="F1051"/>
    </row>
    <row r="1052" spans="6:6" x14ac:dyDescent="0.2">
      <c r="F1052"/>
    </row>
    <row r="1053" spans="6:6" x14ac:dyDescent="0.2">
      <c r="F1053"/>
    </row>
    <row r="1054" spans="6:6" x14ac:dyDescent="0.2">
      <c r="F1054"/>
    </row>
    <row r="1055" spans="6:6" x14ac:dyDescent="0.2">
      <c r="F1055"/>
    </row>
    <row r="1056" spans="6:6" x14ac:dyDescent="0.2">
      <c r="F1056"/>
    </row>
    <row r="1057" spans="6:6" x14ac:dyDescent="0.2">
      <c r="F1057"/>
    </row>
    <row r="1058" spans="6:6" x14ac:dyDescent="0.2">
      <c r="F1058"/>
    </row>
    <row r="1059" spans="6:6" x14ac:dyDescent="0.2">
      <c r="F1059"/>
    </row>
    <row r="1060" spans="6:6" x14ac:dyDescent="0.2">
      <c r="F1060"/>
    </row>
    <row r="1061" spans="6:6" x14ac:dyDescent="0.2">
      <c r="F1061"/>
    </row>
    <row r="1062" spans="6:6" x14ac:dyDescent="0.2">
      <c r="F1062"/>
    </row>
    <row r="1063" spans="6:6" x14ac:dyDescent="0.2">
      <c r="F1063"/>
    </row>
    <row r="1064" spans="6:6" x14ac:dyDescent="0.2">
      <c r="F1064"/>
    </row>
    <row r="1065" spans="6:6" x14ac:dyDescent="0.2">
      <c r="F1065"/>
    </row>
    <row r="1066" spans="6:6" x14ac:dyDescent="0.2">
      <c r="F1066"/>
    </row>
    <row r="1067" spans="6:6" x14ac:dyDescent="0.2">
      <c r="F1067"/>
    </row>
    <row r="1068" spans="6:6" x14ac:dyDescent="0.2">
      <c r="F1068"/>
    </row>
    <row r="1069" spans="6:6" x14ac:dyDescent="0.2">
      <c r="F1069"/>
    </row>
    <row r="1070" spans="6:6" x14ac:dyDescent="0.2">
      <c r="F1070"/>
    </row>
    <row r="1071" spans="6:6" x14ac:dyDescent="0.2">
      <c r="F1071"/>
    </row>
    <row r="1072" spans="6:6" x14ac:dyDescent="0.2">
      <c r="F1072"/>
    </row>
    <row r="1073" spans="6:6" x14ac:dyDescent="0.2">
      <c r="F1073"/>
    </row>
    <row r="1074" spans="6:6" x14ac:dyDescent="0.2">
      <c r="F1074"/>
    </row>
    <row r="1075" spans="6:6" x14ac:dyDescent="0.2">
      <c r="F1075"/>
    </row>
    <row r="1076" spans="6:6" x14ac:dyDescent="0.2">
      <c r="F1076"/>
    </row>
    <row r="1077" spans="6:6" x14ac:dyDescent="0.2">
      <c r="F1077"/>
    </row>
    <row r="1078" spans="6:6" x14ac:dyDescent="0.2">
      <c r="F1078"/>
    </row>
    <row r="1079" spans="6:6" x14ac:dyDescent="0.2">
      <c r="F1079"/>
    </row>
    <row r="1080" spans="6:6" x14ac:dyDescent="0.2">
      <c r="F1080"/>
    </row>
    <row r="1081" spans="6:6" x14ac:dyDescent="0.2">
      <c r="F1081"/>
    </row>
    <row r="1082" spans="6:6" x14ac:dyDescent="0.2">
      <c r="F1082"/>
    </row>
    <row r="1083" spans="6:6" x14ac:dyDescent="0.2">
      <c r="F1083"/>
    </row>
    <row r="1084" spans="6:6" x14ac:dyDescent="0.2">
      <c r="F1084"/>
    </row>
    <row r="1085" spans="6:6" x14ac:dyDescent="0.2">
      <c r="F1085"/>
    </row>
    <row r="1086" spans="6:6" x14ac:dyDescent="0.2">
      <c r="F1086"/>
    </row>
    <row r="1087" spans="6:6" x14ac:dyDescent="0.2">
      <c r="F1087"/>
    </row>
    <row r="1088" spans="6:6" x14ac:dyDescent="0.2">
      <c r="F1088"/>
    </row>
    <row r="1089" spans="6:6" x14ac:dyDescent="0.2">
      <c r="F1089"/>
    </row>
    <row r="1090" spans="6:6" x14ac:dyDescent="0.2">
      <c r="F1090"/>
    </row>
    <row r="1091" spans="6:6" x14ac:dyDescent="0.2">
      <c r="F1091"/>
    </row>
    <row r="1092" spans="6:6" x14ac:dyDescent="0.2">
      <c r="F1092"/>
    </row>
    <row r="1093" spans="6:6" x14ac:dyDescent="0.2">
      <c r="F1093"/>
    </row>
    <row r="1094" spans="6:6" x14ac:dyDescent="0.2">
      <c r="F1094"/>
    </row>
    <row r="1095" spans="6:6" x14ac:dyDescent="0.2">
      <c r="F1095"/>
    </row>
    <row r="1096" spans="6:6" x14ac:dyDescent="0.2">
      <c r="F1096"/>
    </row>
    <row r="1097" spans="6:6" x14ac:dyDescent="0.2">
      <c r="F1097"/>
    </row>
    <row r="1098" spans="6:6" x14ac:dyDescent="0.2">
      <c r="F1098"/>
    </row>
    <row r="1099" spans="6:6" x14ac:dyDescent="0.2">
      <c r="F1099"/>
    </row>
    <row r="1100" spans="6:6" x14ac:dyDescent="0.2">
      <c r="F1100"/>
    </row>
    <row r="1101" spans="6:6" x14ac:dyDescent="0.2">
      <c r="F1101"/>
    </row>
    <row r="1102" spans="6:6" x14ac:dyDescent="0.2">
      <c r="F1102"/>
    </row>
    <row r="1103" spans="6:6" x14ac:dyDescent="0.2">
      <c r="F1103"/>
    </row>
    <row r="1104" spans="6:6" x14ac:dyDescent="0.2">
      <c r="F1104"/>
    </row>
    <row r="1105" spans="6:6" x14ac:dyDescent="0.2">
      <c r="F1105"/>
    </row>
    <row r="1106" spans="6:6" x14ac:dyDescent="0.2">
      <c r="F1106"/>
    </row>
    <row r="1107" spans="6:6" x14ac:dyDescent="0.2">
      <c r="F1107"/>
    </row>
    <row r="1108" spans="6:6" x14ac:dyDescent="0.2">
      <c r="F1108"/>
    </row>
    <row r="1109" spans="6:6" x14ac:dyDescent="0.2">
      <c r="F1109"/>
    </row>
    <row r="1110" spans="6:6" x14ac:dyDescent="0.2">
      <c r="F1110"/>
    </row>
    <row r="1111" spans="6:6" x14ac:dyDescent="0.2">
      <c r="F1111"/>
    </row>
    <row r="1112" spans="6:6" x14ac:dyDescent="0.2">
      <c r="F1112"/>
    </row>
    <row r="1113" spans="6:6" x14ac:dyDescent="0.2">
      <c r="F1113"/>
    </row>
    <row r="1114" spans="6:6" x14ac:dyDescent="0.2">
      <c r="F1114"/>
    </row>
    <row r="1115" spans="6:6" x14ac:dyDescent="0.2">
      <c r="F1115"/>
    </row>
    <row r="1116" spans="6:6" x14ac:dyDescent="0.2">
      <c r="F1116"/>
    </row>
    <row r="1117" spans="6:6" x14ac:dyDescent="0.2">
      <c r="F1117"/>
    </row>
    <row r="1118" spans="6:6" x14ac:dyDescent="0.2">
      <c r="F1118"/>
    </row>
    <row r="1119" spans="6:6" x14ac:dyDescent="0.2">
      <c r="F1119"/>
    </row>
    <row r="1120" spans="6:6" x14ac:dyDescent="0.2">
      <c r="F1120"/>
    </row>
    <row r="1121" spans="6:6" x14ac:dyDescent="0.2">
      <c r="F1121"/>
    </row>
    <row r="1122" spans="6:6" x14ac:dyDescent="0.2">
      <c r="F1122"/>
    </row>
    <row r="1123" spans="6:6" x14ac:dyDescent="0.2">
      <c r="F1123"/>
    </row>
    <row r="1124" spans="6:6" x14ac:dyDescent="0.2">
      <c r="F1124"/>
    </row>
    <row r="1125" spans="6:6" x14ac:dyDescent="0.2">
      <c r="F1125"/>
    </row>
    <row r="1126" spans="6:6" x14ac:dyDescent="0.2">
      <c r="F1126"/>
    </row>
    <row r="1127" spans="6:6" x14ac:dyDescent="0.2">
      <c r="F1127"/>
    </row>
    <row r="1128" spans="6:6" x14ac:dyDescent="0.2">
      <c r="F1128"/>
    </row>
    <row r="1129" spans="6:6" x14ac:dyDescent="0.2">
      <c r="F1129"/>
    </row>
    <row r="1130" spans="6:6" x14ac:dyDescent="0.2">
      <c r="F1130"/>
    </row>
    <row r="1131" spans="6:6" x14ac:dyDescent="0.2">
      <c r="F1131"/>
    </row>
    <row r="1132" spans="6:6" x14ac:dyDescent="0.2">
      <c r="F1132"/>
    </row>
    <row r="1133" spans="6:6" x14ac:dyDescent="0.2">
      <c r="F1133"/>
    </row>
    <row r="1134" spans="6:6" x14ac:dyDescent="0.2">
      <c r="F1134"/>
    </row>
    <row r="1135" spans="6:6" x14ac:dyDescent="0.2">
      <c r="F1135"/>
    </row>
    <row r="1136" spans="6:6" x14ac:dyDescent="0.2">
      <c r="F1136"/>
    </row>
    <row r="1137" spans="6:6" x14ac:dyDescent="0.2">
      <c r="F1137"/>
    </row>
    <row r="1138" spans="6:6" x14ac:dyDescent="0.2">
      <c r="F1138"/>
    </row>
    <row r="1139" spans="6:6" x14ac:dyDescent="0.2">
      <c r="F1139"/>
    </row>
    <row r="1140" spans="6:6" x14ac:dyDescent="0.2">
      <c r="F1140"/>
    </row>
    <row r="1141" spans="6:6" x14ac:dyDescent="0.2">
      <c r="F1141"/>
    </row>
    <row r="1142" spans="6:6" x14ac:dyDescent="0.2">
      <c r="F1142"/>
    </row>
    <row r="1143" spans="6:6" x14ac:dyDescent="0.2">
      <c r="F1143"/>
    </row>
    <row r="1144" spans="6:6" x14ac:dyDescent="0.2">
      <c r="F1144"/>
    </row>
    <row r="1145" spans="6:6" x14ac:dyDescent="0.2">
      <c r="F1145"/>
    </row>
    <row r="1146" spans="6:6" x14ac:dyDescent="0.2">
      <c r="F1146"/>
    </row>
    <row r="1147" spans="6:6" x14ac:dyDescent="0.2">
      <c r="F1147"/>
    </row>
    <row r="1148" spans="6:6" x14ac:dyDescent="0.2">
      <c r="F1148"/>
    </row>
    <row r="1149" spans="6:6" x14ac:dyDescent="0.2">
      <c r="F1149"/>
    </row>
    <row r="1150" spans="6:6" x14ac:dyDescent="0.2">
      <c r="F1150"/>
    </row>
    <row r="1151" spans="6:6" x14ac:dyDescent="0.2">
      <c r="F1151"/>
    </row>
    <row r="1152" spans="6:6" x14ac:dyDescent="0.2">
      <c r="F1152"/>
    </row>
    <row r="1153" spans="6:6" x14ac:dyDescent="0.2">
      <c r="F1153"/>
    </row>
    <row r="1154" spans="6:6" x14ac:dyDescent="0.2">
      <c r="F1154"/>
    </row>
    <row r="1155" spans="6:6" x14ac:dyDescent="0.2">
      <c r="F1155"/>
    </row>
    <row r="1156" spans="6:6" x14ac:dyDescent="0.2">
      <c r="F1156"/>
    </row>
    <row r="1157" spans="6:6" x14ac:dyDescent="0.2">
      <c r="F1157"/>
    </row>
    <row r="1158" spans="6:6" x14ac:dyDescent="0.2">
      <c r="F1158"/>
    </row>
    <row r="1159" spans="6:6" x14ac:dyDescent="0.2">
      <c r="F1159"/>
    </row>
    <row r="1160" spans="6:6" x14ac:dyDescent="0.2">
      <c r="F1160"/>
    </row>
    <row r="1161" spans="6:6" x14ac:dyDescent="0.2">
      <c r="F1161"/>
    </row>
    <row r="1162" spans="6:6" x14ac:dyDescent="0.2">
      <c r="F1162"/>
    </row>
    <row r="1163" spans="6:6" x14ac:dyDescent="0.2">
      <c r="F1163"/>
    </row>
    <row r="1164" spans="6:6" x14ac:dyDescent="0.2">
      <c r="F1164"/>
    </row>
    <row r="1165" spans="6:6" x14ac:dyDescent="0.2">
      <c r="F1165"/>
    </row>
    <row r="1166" spans="6:6" x14ac:dyDescent="0.2">
      <c r="F1166"/>
    </row>
    <row r="1167" spans="6:6" x14ac:dyDescent="0.2">
      <c r="F1167"/>
    </row>
    <row r="1168" spans="6:6" x14ac:dyDescent="0.2">
      <c r="F1168"/>
    </row>
    <row r="1169" spans="6:6" x14ac:dyDescent="0.2">
      <c r="F1169"/>
    </row>
    <row r="1170" spans="6:6" x14ac:dyDescent="0.2">
      <c r="F1170"/>
    </row>
    <row r="1171" spans="6:6" x14ac:dyDescent="0.2">
      <c r="F1171"/>
    </row>
    <row r="1172" spans="6:6" x14ac:dyDescent="0.2">
      <c r="F1172"/>
    </row>
    <row r="1173" spans="6:6" x14ac:dyDescent="0.2">
      <c r="F1173"/>
    </row>
    <row r="1174" spans="6:6" x14ac:dyDescent="0.2">
      <c r="F1174"/>
    </row>
    <row r="1175" spans="6:6" x14ac:dyDescent="0.2">
      <c r="F1175"/>
    </row>
    <row r="1176" spans="6:6" x14ac:dyDescent="0.2">
      <c r="F1176"/>
    </row>
    <row r="1177" spans="6:6" x14ac:dyDescent="0.2">
      <c r="F1177"/>
    </row>
    <row r="1178" spans="6:6" x14ac:dyDescent="0.2">
      <c r="F1178"/>
    </row>
    <row r="1179" spans="6:6" x14ac:dyDescent="0.2">
      <c r="F1179"/>
    </row>
    <row r="1180" spans="6:6" x14ac:dyDescent="0.2">
      <c r="F1180"/>
    </row>
    <row r="1181" spans="6:6" x14ac:dyDescent="0.2">
      <c r="F1181"/>
    </row>
    <row r="1182" spans="6:6" x14ac:dyDescent="0.2">
      <c r="F1182"/>
    </row>
    <row r="1183" spans="6:6" x14ac:dyDescent="0.2">
      <c r="F1183"/>
    </row>
    <row r="1184" spans="6:6" x14ac:dyDescent="0.2">
      <c r="F1184"/>
    </row>
    <row r="1185" spans="6:6" x14ac:dyDescent="0.2">
      <c r="F1185"/>
    </row>
    <row r="1186" spans="6:6" x14ac:dyDescent="0.2">
      <c r="F1186"/>
    </row>
    <row r="1187" spans="6:6" x14ac:dyDescent="0.2">
      <c r="F1187"/>
    </row>
    <row r="1188" spans="6:6" x14ac:dyDescent="0.2">
      <c r="F1188"/>
    </row>
    <row r="1189" spans="6:6" x14ac:dyDescent="0.2">
      <c r="F1189"/>
    </row>
    <row r="1190" spans="6:6" x14ac:dyDescent="0.2">
      <c r="F1190"/>
    </row>
    <row r="1191" spans="6:6" x14ac:dyDescent="0.2">
      <c r="F1191"/>
    </row>
    <row r="1192" spans="6:6" x14ac:dyDescent="0.2">
      <c r="F1192"/>
    </row>
    <row r="1193" spans="6:6" x14ac:dyDescent="0.2">
      <c r="F1193"/>
    </row>
    <row r="1194" spans="6:6" x14ac:dyDescent="0.2">
      <c r="F1194"/>
    </row>
    <row r="1195" spans="6:6" x14ac:dyDescent="0.2">
      <c r="F1195"/>
    </row>
    <row r="1196" spans="6:6" x14ac:dyDescent="0.2">
      <c r="F1196"/>
    </row>
    <row r="1197" spans="6:6" x14ac:dyDescent="0.2">
      <c r="F1197"/>
    </row>
    <row r="1198" spans="6:6" x14ac:dyDescent="0.2">
      <c r="F1198"/>
    </row>
    <row r="1199" spans="6:6" x14ac:dyDescent="0.2">
      <c r="F1199"/>
    </row>
    <row r="1200" spans="6:6" x14ac:dyDescent="0.2">
      <c r="F1200"/>
    </row>
    <row r="1201" spans="6:6" x14ac:dyDescent="0.2">
      <c r="F1201"/>
    </row>
    <row r="1202" spans="6:6" x14ac:dyDescent="0.2">
      <c r="F1202"/>
    </row>
    <row r="1203" spans="6:6" x14ac:dyDescent="0.2">
      <c r="F1203"/>
    </row>
    <row r="1204" spans="6:6" x14ac:dyDescent="0.2">
      <c r="F1204"/>
    </row>
    <row r="1205" spans="6:6" x14ac:dyDescent="0.2">
      <c r="F1205"/>
    </row>
    <row r="1206" spans="6:6" x14ac:dyDescent="0.2">
      <c r="F1206"/>
    </row>
    <row r="1207" spans="6:6" x14ac:dyDescent="0.2">
      <c r="F1207"/>
    </row>
    <row r="1208" spans="6:6" x14ac:dyDescent="0.2">
      <c r="F1208"/>
    </row>
    <row r="1209" spans="6:6" x14ac:dyDescent="0.2">
      <c r="F1209"/>
    </row>
    <row r="1210" spans="6:6" x14ac:dyDescent="0.2">
      <c r="F1210"/>
    </row>
    <row r="1211" spans="6:6" x14ac:dyDescent="0.2">
      <c r="F1211"/>
    </row>
    <row r="1212" spans="6:6" x14ac:dyDescent="0.2">
      <c r="F1212"/>
    </row>
    <row r="1213" spans="6:6" x14ac:dyDescent="0.2">
      <c r="F1213"/>
    </row>
    <row r="1214" spans="6:6" x14ac:dyDescent="0.2">
      <c r="F1214"/>
    </row>
    <row r="1215" spans="6:6" x14ac:dyDescent="0.2">
      <c r="F1215"/>
    </row>
    <row r="1216" spans="6:6" x14ac:dyDescent="0.2">
      <c r="F1216"/>
    </row>
    <row r="1217" spans="6:6" x14ac:dyDescent="0.2">
      <c r="F1217"/>
    </row>
    <row r="1218" spans="6:6" x14ac:dyDescent="0.2">
      <c r="F1218"/>
    </row>
    <row r="1219" spans="6:6" x14ac:dyDescent="0.2">
      <c r="F1219"/>
    </row>
    <row r="1220" spans="6:6" x14ac:dyDescent="0.2">
      <c r="F1220"/>
    </row>
    <row r="1221" spans="6:6" x14ac:dyDescent="0.2">
      <c r="F1221"/>
    </row>
    <row r="1222" spans="6:6" x14ac:dyDescent="0.2">
      <c r="F1222"/>
    </row>
    <row r="1223" spans="6:6" x14ac:dyDescent="0.2">
      <c r="F1223"/>
    </row>
    <row r="1224" spans="6:6" x14ac:dyDescent="0.2">
      <c r="F1224"/>
    </row>
    <row r="1225" spans="6:6" x14ac:dyDescent="0.2">
      <c r="F1225"/>
    </row>
    <row r="1226" spans="6:6" x14ac:dyDescent="0.2">
      <c r="F1226"/>
    </row>
    <row r="1227" spans="6:6" x14ac:dyDescent="0.2">
      <c r="F1227"/>
    </row>
    <row r="1228" spans="6:6" x14ac:dyDescent="0.2">
      <c r="F1228"/>
    </row>
    <row r="1229" spans="6:6" x14ac:dyDescent="0.2">
      <c r="F1229"/>
    </row>
    <row r="1230" spans="6:6" x14ac:dyDescent="0.2">
      <c r="F1230"/>
    </row>
    <row r="1231" spans="6:6" x14ac:dyDescent="0.2">
      <c r="F1231"/>
    </row>
    <row r="1232" spans="6:6" x14ac:dyDescent="0.2">
      <c r="F1232"/>
    </row>
    <row r="1233" spans="6:6" x14ac:dyDescent="0.2">
      <c r="F1233"/>
    </row>
    <row r="1234" spans="6:6" x14ac:dyDescent="0.2">
      <c r="F1234"/>
    </row>
    <row r="1235" spans="6:6" x14ac:dyDescent="0.2">
      <c r="F1235"/>
    </row>
    <row r="1236" spans="6:6" x14ac:dyDescent="0.2">
      <c r="F1236"/>
    </row>
    <row r="1237" spans="6:6" x14ac:dyDescent="0.2">
      <c r="F1237"/>
    </row>
    <row r="1238" spans="6:6" x14ac:dyDescent="0.2">
      <c r="F1238"/>
    </row>
    <row r="1239" spans="6:6" x14ac:dyDescent="0.2">
      <c r="F1239"/>
    </row>
    <row r="1240" spans="6:6" x14ac:dyDescent="0.2">
      <c r="F1240"/>
    </row>
    <row r="1241" spans="6:6" x14ac:dyDescent="0.2">
      <c r="F1241"/>
    </row>
    <row r="1242" spans="6:6" x14ac:dyDescent="0.2">
      <c r="F1242"/>
    </row>
    <row r="1243" spans="6:6" x14ac:dyDescent="0.2">
      <c r="F1243"/>
    </row>
    <row r="1244" spans="6:6" x14ac:dyDescent="0.2">
      <c r="F1244"/>
    </row>
    <row r="1245" spans="6:6" x14ac:dyDescent="0.2">
      <c r="F1245"/>
    </row>
    <row r="1246" spans="6:6" x14ac:dyDescent="0.2">
      <c r="F1246"/>
    </row>
    <row r="1247" spans="6:6" x14ac:dyDescent="0.2">
      <c r="F1247"/>
    </row>
    <row r="1248" spans="6:6" x14ac:dyDescent="0.2">
      <c r="F1248"/>
    </row>
    <row r="1249" spans="6:6" x14ac:dyDescent="0.2">
      <c r="F1249"/>
    </row>
    <row r="1250" spans="6:6" x14ac:dyDescent="0.2">
      <c r="F1250"/>
    </row>
    <row r="1251" spans="6:6" x14ac:dyDescent="0.2">
      <c r="F1251"/>
    </row>
    <row r="1252" spans="6:6" x14ac:dyDescent="0.2">
      <c r="F1252"/>
    </row>
    <row r="1253" spans="6:6" x14ac:dyDescent="0.2">
      <c r="F1253"/>
    </row>
    <row r="1254" spans="6:6" x14ac:dyDescent="0.2">
      <c r="F1254"/>
    </row>
    <row r="1255" spans="6:6" x14ac:dyDescent="0.2">
      <c r="F1255"/>
    </row>
    <row r="1256" spans="6:6" x14ac:dyDescent="0.2">
      <c r="F1256"/>
    </row>
    <row r="1257" spans="6:6" x14ac:dyDescent="0.2">
      <c r="F1257"/>
    </row>
    <row r="1258" spans="6:6" x14ac:dyDescent="0.2">
      <c r="F1258"/>
    </row>
    <row r="1259" spans="6:6" x14ac:dyDescent="0.2">
      <c r="F1259"/>
    </row>
    <row r="1260" spans="6:6" x14ac:dyDescent="0.2">
      <c r="F1260"/>
    </row>
    <row r="1261" spans="6:6" x14ac:dyDescent="0.2">
      <c r="F1261"/>
    </row>
    <row r="1262" spans="6:6" x14ac:dyDescent="0.2">
      <c r="F1262"/>
    </row>
    <row r="1263" spans="6:6" x14ac:dyDescent="0.2">
      <c r="F1263"/>
    </row>
    <row r="1264" spans="6:6" x14ac:dyDescent="0.2">
      <c r="F1264"/>
    </row>
    <row r="1265" spans="6:6" x14ac:dyDescent="0.2">
      <c r="F1265"/>
    </row>
    <row r="1266" spans="6:6" x14ac:dyDescent="0.2">
      <c r="F1266"/>
    </row>
    <row r="1267" spans="6:6" x14ac:dyDescent="0.2">
      <c r="F1267"/>
    </row>
    <row r="1268" spans="6:6" x14ac:dyDescent="0.2">
      <c r="F1268"/>
    </row>
    <row r="1269" spans="6:6" x14ac:dyDescent="0.2">
      <c r="F1269"/>
    </row>
    <row r="1270" spans="6:6" x14ac:dyDescent="0.2">
      <c r="F1270"/>
    </row>
    <row r="1271" spans="6:6" x14ac:dyDescent="0.2">
      <c r="F1271"/>
    </row>
    <row r="1272" spans="6:6" x14ac:dyDescent="0.2">
      <c r="F1272"/>
    </row>
    <row r="1273" spans="6:6" x14ac:dyDescent="0.2">
      <c r="F1273"/>
    </row>
    <row r="1274" spans="6:6" x14ac:dyDescent="0.2">
      <c r="F1274"/>
    </row>
    <row r="1275" spans="6:6" x14ac:dyDescent="0.2">
      <c r="F1275"/>
    </row>
    <row r="1276" spans="6:6" x14ac:dyDescent="0.2">
      <c r="F1276"/>
    </row>
    <row r="1277" spans="6:6" x14ac:dyDescent="0.2">
      <c r="F1277"/>
    </row>
    <row r="1278" spans="6:6" x14ac:dyDescent="0.2">
      <c r="F1278"/>
    </row>
    <row r="1279" spans="6:6" x14ac:dyDescent="0.2">
      <c r="F1279"/>
    </row>
    <row r="1280" spans="6:6" x14ac:dyDescent="0.2">
      <c r="F1280"/>
    </row>
    <row r="1281" spans="6:6" x14ac:dyDescent="0.2">
      <c r="F1281"/>
    </row>
    <row r="1282" spans="6:6" x14ac:dyDescent="0.2">
      <c r="F1282"/>
    </row>
    <row r="1283" spans="6:6" x14ac:dyDescent="0.2">
      <c r="F1283"/>
    </row>
    <row r="1284" spans="6:6" x14ac:dyDescent="0.2">
      <c r="F1284"/>
    </row>
    <row r="1285" spans="6:6" x14ac:dyDescent="0.2">
      <c r="F1285"/>
    </row>
    <row r="1286" spans="6:6" x14ac:dyDescent="0.2">
      <c r="F1286"/>
    </row>
    <row r="1287" spans="6:6" x14ac:dyDescent="0.2">
      <c r="F1287"/>
    </row>
    <row r="1288" spans="6:6" x14ac:dyDescent="0.2">
      <c r="F1288"/>
    </row>
    <row r="1289" spans="6:6" x14ac:dyDescent="0.2">
      <c r="F1289"/>
    </row>
    <row r="1290" spans="6:6" x14ac:dyDescent="0.2">
      <c r="F1290"/>
    </row>
    <row r="1291" spans="6:6" x14ac:dyDescent="0.2">
      <c r="F1291"/>
    </row>
    <row r="1292" spans="6:6" x14ac:dyDescent="0.2">
      <c r="F1292"/>
    </row>
    <row r="1293" spans="6:6" x14ac:dyDescent="0.2">
      <c r="F1293"/>
    </row>
    <row r="1294" spans="6:6" x14ac:dyDescent="0.2">
      <c r="F1294"/>
    </row>
    <row r="1295" spans="6:6" x14ac:dyDescent="0.2">
      <c r="F1295"/>
    </row>
    <row r="1296" spans="6:6" x14ac:dyDescent="0.2">
      <c r="F1296"/>
    </row>
    <row r="1297" spans="6:6" x14ac:dyDescent="0.2">
      <c r="F1297"/>
    </row>
    <row r="1298" spans="6:6" x14ac:dyDescent="0.2">
      <c r="F1298"/>
    </row>
    <row r="1299" spans="6:6" x14ac:dyDescent="0.2">
      <c r="F1299"/>
    </row>
    <row r="1300" spans="6:6" x14ac:dyDescent="0.2">
      <c r="F1300"/>
    </row>
    <row r="1301" spans="6:6" x14ac:dyDescent="0.2">
      <c r="F1301"/>
    </row>
    <row r="1302" spans="6:6" x14ac:dyDescent="0.2">
      <c r="F1302"/>
    </row>
    <row r="1303" spans="6:6" x14ac:dyDescent="0.2">
      <c r="F1303"/>
    </row>
    <row r="1304" spans="6:6" x14ac:dyDescent="0.2">
      <c r="F1304"/>
    </row>
    <row r="1305" spans="6:6" x14ac:dyDescent="0.2">
      <c r="F1305"/>
    </row>
    <row r="1306" spans="6:6" x14ac:dyDescent="0.2">
      <c r="F1306"/>
    </row>
    <row r="1307" spans="6:6" x14ac:dyDescent="0.2">
      <c r="F1307"/>
    </row>
    <row r="1308" spans="6:6" x14ac:dyDescent="0.2">
      <c r="F1308"/>
    </row>
    <row r="1309" spans="6:6" x14ac:dyDescent="0.2">
      <c r="F1309"/>
    </row>
    <row r="1310" spans="6:6" x14ac:dyDescent="0.2">
      <c r="F1310"/>
    </row>
    <row r="1311" spans="6:6" x14ac:dyDescent="0.2">
      <c r="F1311"/>
    </row>
    <row r="1312" spans="6:6" x14ac:dyDescent="0.2">
      <c r="F1312"/>
    </row>
    <row r="1313" spans="6:6" x14ac:dyDescent="0.2">
      <c r="F1313"/>
    </row>
    <row r="1314" spans="6:6" x14ac:dyDescent="0.2">
      <c r="F1314"/>
    </row>
    <row r="1315" spans="6:6" x14ac:dyDescent="0.2">
      <c r="F1315"/>
    </row>
    <row r="1316" spans="6:6" x14ac:dyDescent="0.2">
      <c r="F1316"/>
    </row>
    <row r="1317" spans="6:6" x14ac:dyDescent="0.2">
      <c r="F1317"/>
    </row>
    <row r="1318" spans="6:6" x14ac:dyDescent="0.2">
      <c r="F1318"/>
    </row>
    <row r="1319" spans="6:6" x14ac:dyDescent="0.2">
      <c r="F1319"/>
    </row>
    <row r="1320" spans="6:6" x14ac:dyDescent="0.2">
      <c r="F1320"/>
    </row>
    <row r="1321" spans="6:6" x14ac:dyDescent="0.2">
      <c r="F1321"/>
    </row>
    <row r="1322" spans="6:6" x14ac:dyDescent="0.2">
      <c r="F1322"/>
    </row>
    <row r="1323" spans="6:6" x14ac:dyDescent="0.2">
      <c r="F1323"/>
    </row>
    <row r="1324" spans="6:6" x14ac:dyDescent="0.2">
      <c r="F1324"/>
    </row>
    <row r="1325" spans="6:6" x14ac:dyDescent="0.2">
      <c r="F1325"/>
    </row>
    <row r="1326" spans="6:6" x14ac:dyDescent="0.2">
      <c r="F1326"/>
    </row>
    <row r="1327" spans="6:6" x14ac:dyDescent="0.2">
      <c r="F1327"/>
    </row>
    <row r="1328" spans="6:6" x14ac:dyDescent="0.2">
      <c r="F1328"/>
    </row>
    <row r="1329" spans="6:6" x14ac:dyDescent="0.2">
      <c r="F1329"/>
    </row>
    <row r="1330" spans="6:6" x14ac:dyDescent="0.2">
      <c r="F1330"/>
    </row>
    <row r="1331" spans="6:6" x14ac:dyDescent="0.2">
      <c r="F1331"/>
    </row>
    <row r="1332" spans="6:6" x14ac:dyDescent="0.2">
      <c r="F1332"/>
    </row>
    <row r="1333" spans="6:6" x14ac:dyDescent="0.2">
      <c r="F1333"/>
    </row>
    <row r="1334" spans="6:6" x14ac:dyDescent="0.2">
      <c r="F1334"/>
    </row>
    <row r="1335" spans="6:6" x14ac:dyDescent="0.2">
      <c r="F1335"/>
    </row>
    <row r="1336" spans="6:6" x14ac:dyDescent="0.2">
      <c r="F1336"/>
    </row>
    <row r="1337" spans="6:6" x14ac:dyDescent="0.2">
      <c r="F1337"/>
    </row>
    <row r="1338" spans="6:6" x14ac:dyDescent="0.2">
      <c r="F1338"/>
    </row>
    <row r="1339" spans="6:6" x14ac:dyDescent="0.2">
      <c r="F1339"/>
    </row>
    <row r="1340" spans="6:6" x14ac:dyDescent="0.2">
      <c r="F1340"/>
    </row>
    <row r="1341" spans="6:6" x14ac:dyDescent="0.2">
      <c r="F1341"/>
    </row>
    <row r="1342" spans="6:6" x14ac:dyDescent="0.2">
      <c r="F1342"/>
    </row>
    <row r="1343" spans="6:6" x14ac:dyDescent="0.2">
      <c r="F1343"/>
    </row>
    <row r="1344" spans="6:6" x14ac:dyDescent="0.2">
      <c r="F1344"/>
    </row>
    <row r="1345" spans="6:6" x14ac:dyDescent="0.2">
      <c r="F1345"/>
    </row>
    <row r="1346" spans="6:6" x14ac:dyDescent="0.2">
      <c r="F1346"/>
    </row>
    <row r="1347" spans="6:6" x14ac:dyDescent="0.2">
      <c r="F1347"/>
    </row>
    <row r="1348" spans="6:6" x14ac:dyDescent="0.2">
      <c r="F1348"/>
    </row>
    <row r="1349" spans="6:6" x14ac:dyDescent="0.2">
      <c r="F1349"/>
    </row>
    <row r="1350" spans="6:6" x14ac:dyDescent="0.2">
      <c r="F1350"/>
    </row>
    <row r="1351" spans="6:6" x14ac:dyDescent="0.2">
      <c r="F1351"/>
    </row>
    <row r="1352" spans="6:6" x14ac:dyDescent="0.2">
      <c r="F1352"/>
    </row>
    <row r="1353" spans="6:6" x14ac:dyDescent="0.2">
      <c r="F1353"/>
    </row>
    <row r="1354" spans="6:6" x14ac:dyDescent="0.2">
      <c r="F1354"/>
    </row>
    <row r="1355" spans="6:6" x14ac:dyDescent="0.2">
      <c r="F1355"/>
    </row>
    <row r="1356" spans="6:6" x14ac:dyDescent="0.2">
      <c r="F1356"/>
    </row>
    <row r="1357" spans="6:6" x14ac:dyDescent="0.2">
      <c r="F1357"/>
    </row>
    <row r="1358" spans="6:6" x14ac:dyDescent="0.2">
      <c r="F1358"/>
    </row>
    <row r="1359" spans="6:6" x14ac:dyDescent="0.2">
      <c r="F1359"/>
    </row>
    <row r="1360" spans="6:6" x14ac:dyDescent="0.2">
      <c r="F1360"/>
    </row>
    <row r="1361" spans="6:6" x14ac:dyDescent="0.2">
      <c r="F1361"/>
    </row>
    <row r="1362" spans="6:6" x14ac:dyDescent="0.2">
      <c r="F1362"/>
    </row>
    <row r="1363" spans="6:6" x14ac:dyDescent="0.2">
      <c r="F1363"/>
    </row>
    <row r="1364" spans="6:6" x14ac:dyDescent="0.2">
      <c r="F1364"/>
    </row>
    <row r="1365" spans="6:6" x14ac:dyDescent="0.2">
      <c r="F1365"/>
    </row>
    <row r="1366" spans="6:6" x14ac:dyDescent="0.2">
      <c r="F1366"/>
    </row>
    <row r="1367" spans="6:6" x14ac:dyDescent="0.2">
      <c r="F1367"/>
    </row>
    <row r="1368" spans="6:6" x14ac:dyDescent="0.2">
      <c r="F1368"/>
    </row>
    <row r="1369" spans="6:6" x14ac:dyDescent="0.2">
      <c r="F1369"/>
    </row>
    <row r="1370" spans="6:6" x14ac:dyDescent="0.2">
      <c r="F1370"/>
    </row>
    <row r="1371" spans="6:6" x14ac:dyDescent="0.2">
      <c r="F1371"/>
    </row>
    <row r="1372" spans="6:6" x14ac:dyDescent="0.2">
      <c r="F1372"/>
    </row>
    <row r="1373" spans="6:6" x14ac:dyDescent="0.2">
      <c r="F1373"/>
    </row>
    <row r="1374" spans="6:6" x14ac:dyDescent="0.2">
      <c r="F1374"/>
    </row>
    <row r="1375" spans="6:6" x14ac:dyDescent="0.2">
      <c r="F1375"/>
    </row>
    <row r="1376" spans="6:6" x14ac:dyDescent="0.2">
      <c r="F1376"/>
    </row>
    <row r="1377" spans="6:6" x14ac:dyDescent="0.2">
      <c r="F1377"/>
    </row>
    <row r="1378" spans="6:6" x14ac:dyDescent="0.2">
      <c r="F1378"/>
    </row>
    <row r="1379" spans="6:6" x14ac:dyDescent="0.2">
      <c r="F1379"/>
    </row>
    <row r="1380" spans="6:6" x14ac:dyDescent="0.2">
      <c r="F1380"/>
    </row>
    <row r="1381" spans="6:6" x14ac:dyDescent="0.2">
      <c r="F1381"/>
    </row>
    <row r="1382" spans="6:6" x14ac:dyDescent="0.2">
      <c r="F1382"/>
    </row>
    <row r="1383" spans="6:6" x14ac:dyDescent="0.2">
      <c r="F1383"/>
    </row>
    <row r="1384" spans="6:6" x14ac:dyDescent="0.2">
      <c r="F1384"/>
    </row>
    <row r="1385" spans="6:6" x14ac:dyDescent="0.2">
      <c r="F1385"/>
    </row>
    <row r="1386" spans="6:6" x14ac:dyDescent="0.2">
      <c r="F1386"/>
    </row>
    <row r="1387" spans="6:6" x14ac:dyDescent="0.2">
      <c r="F1387"/>
    </row>
    <row r="1388" spans="6:6" x14ac:dyDescent="0.2">
      <c r="F1388"/>
    </row>
    <row r="1389" spans="6:6" x14ac:dyDescent="0.2">
      <c r="F1389"/>
    </row>
    <row r="1390" spans="6:6" x14ac:dyDescent="0.2">
      <c r="F1390"/>
    </row>
    <row r="1391" spans="6:6" x14ac:dyDescent="0.2">
      <c r="F1391"/>
    </row>
    <row r="1392" spans="6:6" x14ac:dyDescent="0.2">
      <c r="F1392"/>
    </row>
    <row r="1393" spans="6:6" x14ac:dyDescent="0.2">
      <c r="F1393"/>
    </row>
    <row r="1394" spans="6:6" x14ac:dyDescent="0.2">
      <c r="F1394"/>
    </row>
    <row r="1395" spans="6:6" x14ac:dyDescent="0.2">
      <c r="F1395"/>
    </row>
    <row r="1396" spans="6:6" x14ac:dyDescent="0.2">
      <c r="F1396"/>
    </row>
    <row r="1397" spans="6:6" x14ac:dyDescent="0.2">
      <c r="F1397"/>
    </row>
    <row r="1398" spans="6:6" x14ac:dyDescent="0.2">
      <c r="F1398"/>
    </row>
    <row r="1399" spans="6:6" x14ac:dyDescent="0.2">
      <c r="F1399"/>
    </row>
    <row r="1400" spans="6:6" x14ac:dyDescent="0.2">
      <c r="F1400"/>
    </row>
    <row r="1401" spans="6:6" x14ac:dyDescent="0.2">
      <c r="F1401"/>
    </row>
    <row r="1402" spans="6:6" x14ac:dyDescent="0.2">
      <c r="F1402"/>
    </row>
    <row r="1403" spans="6:6" x14ac:dyDescent="0.2">
      <c r="F1403"/>
    </row>
    <row r="1404" spans="6:6" x14ac:dyDescent="0.2">
      <c r="F1404"/>
    </row>
    <row r="1405" spans="6:6" x14ac:dyDescent="0.2">
      <c r="F1405"/>
    </row>
    <row r="1406" spans="6:6" x14ac:dyDescent="0.2">
      <c r="F1406"/>
    </row>
    <row r="1407" spans="6:6" x14ac:dyDescent="0.2">
      <c r="F1407"/>
    </row>
    <row r="1408" spans="6:6" x14ac:dyDescent="0.2">
      <c r="F1408"/>
    </row>
    <row r="1409" spans="6:6" x14ac:dyDescent="0.2">
      <c r="F1409"/>
    </row>
    <row r="1410" spans="6:6" x14ac:dyDescent="0.2">
      <c r="F1410"/>
    </row>
    <row r="1411" spans="6:6" x14ac:dyDescent="0.2">
      <c r="F1411"/>
    </row>
    <row r="1412" spans="6:6" x14ac:dyDescent="0.2">
      <c r="F1412"/>
    </row>
    <row r="1413" spans="6:6" x14ac:dyDescent="0.2">
      <c r="F1413"/>
    </row>
    <row r="1414" spans="6:6" x14ac:dyDescent="0.2">
      <c r="F1414"/>
    </row>
    <row r="1415" spans="6:6" x14ac:dyDescent="0.2">
      <c r="F1415"/>
    </row>
    <row r="1416" spans="6:6" x14ac:dyDescent="0.2">
      <c r="F1416"/>
    </row>
    <row r="1417" spans="6:6" x14ac:dyDescent="0.2">
      <c r="F1417"/>
    </row>
    <row r="1418" spans="6:6" x14ac:dyDescent="0.2">
      <c r="F1418"/>
    </row>
    <row r="1419" spans="6:6" x14ac:dyDescent="0.2">
      <c r="F1419"/>
    </row>
    <row r="1420" spans="6:6" x14ac:dyDescent="0.2">
      <c r="F1420"/>
    </row>
    <row r="1421" spans="6:6" x14ac:dyDescent="0.2">
      <c r="F1421"/>
    </row>
    <row r="1422" spans="6:6" x14ac:dyDescent="0.2">
      <c r="F1422"/>
    </row>
    <row r="1423" spans="6:6" x14ac:dyDescent="0.2">
      <c r="F1423"/>
    </row>
    <row r="1424" spans="6:6" x14ac:dyDescent="0.2">
      <c r="F1424"/>
    </row>
    <row r="1425" spans="6:6" x14ac:dyDescent="0.2">
      <c r="F1425"/>
    </row>
    <row r="1426" spans="6:6" x14ac:dyDescent="0.2">
      <c r="F1426"/>
    </row>
  </sheetData>
  <conditionalFormatting sqref="C1:C24 C273:C1048576">
    <cfRule type="cellIs" dxfId="17" priority="3" operator="greaterThan">
      <formula>0</formula>
    </cfRule>
  </conditionalFormatting>
  <conditionalFormatting sqref="C24 C1427:C1048576">
    <cfRule type="cellIs" dxfId="16" priority="17" operator="greaterThan">
      <formula>0</formula>
    </cfRule>
  </conditionalFormatting>
  <conditionalFormatting sqref="D1:D24 D273:D1048576">
    <cfRule type="cellIs" dxfId="15" priority="2" operator="greaterThan">
      <formula>0</formula>
    </cfRule>
  </conditionalFormatting>
  <conditionalFormatting sqref="D24 D1427:D1048576">
    <cfRule type="cellIs" dxfId="14" priority="16" operator="greaterThan">
      <formula>0</formula>
    </cfRule>
  </conditionalFormatting>
  <conditionalFormatting sqref="E1:E24 E273:E1048576">
    <cfRule type="cellIs" dxfId="13" priority="1" operator="greaterThan">
      <formula>0</formula>
    </cfRule>
  </conditionalFormatting>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F7C9EE02-42E1-4005-9D12-6889AFFD525C}">
      <x15:webExtensions xmlns:xm="http://schemas.microsoft.com/office/excel/2006/main">
        <x15:webExtension appRef="{DD6B4439-A8EB-4D35-8AE4-4D3F3FB1E1E2}">
          <xm:f>#REF!</xm:f>
        </x15:webExtension>
        <x15:webExtension appRef="{A6EA109A-6317-4A46-98B7-56078FF0AE67}">
          <xm:f>#REF!</xm:f>
        </x15:webExtension>
        <x15:webExtension appRef="{1DC4FE72-D42C-47B7-940F-75151517F73E}">
          <xm:f>Table2[#All]</xm:f>
        </x15:webExtension>
      </x15:webExtens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66"/>
  </sheetPr>
  <dimension ref="A1:AF582"/>
  <sheetViews>
    <sheetView tabSelected="1" zoomScale="101" workbookViewId="0">
      <selection activeCell="V1" sqref="V1:AC1048576"/>
    </sheetView>
  </sheetViews>
  <sheetFormatPr defaultColWidth="13" defaultRowHeight="10.199999999999999" outlineLevelCol="1" x14ac:dyDescent="0.2"/>
  <cols>
    <col min="1" max="1" width="11.85546875" style="33" customWidth="1"/>
    <col min="2" max="2" width="18.7109375" style="33" bestFit="1" customWidth="1"/>
    <col min="3" max="3" width="14.140625" style="33" bestFit="1" customWidth="1"/>
    <col min="4" max="4" width="14.7109375" style="33" bestFit="1" customWidth="1"/>
    <col min="5" max="5" width="18.85546875" style="33" bestFit="1" customWidth="1"/>
    <col min="6" max="6" width="16.28515625" style="47" bestFit="1" customWidth="1"/>
    <col min="7" max="7" width="17.140625" style="47" bestFit="1" customWidth="1"/>
    <col min="8" max="8" width="15.85546875" style="33" bestFit="1" customWidth="1"/>
    <col min="9" max="9" width="13.7109375" style="33" bestFit="1" customWidth="1"/>
    <col min="10" max="10" width="18" style="53" bestFit="1" customWidth="1"/>
    <col min="11" max="11" width="14.7109375" style="33" bestFit="1" customWidth="1"/>
    <col min="12" max="12" width="25.42578125" style="33" customWidth="1"/>
    <col min="13" max="13" width="40.28515625" style="33" bestFit="1" customWidth="1"/>
    <col min="14" max="14" width="19.7109375" style="33" bestFit="1" customWidth="1"/>
    <col min="15" max="15" width="14.28515625" style="48" bestFit="1" customWidth="1"/>
    <col min="16" max="16" width="13.140625" style="33" bestFit="1" customWidth="1"/>
    <col min="17" max="17" width="15.7109375" style="33" bestFit="1" customWidth="1"/>
    <col min="18" max="18" width="9.85546875" style="48" bestFit="1" customWidth="1"/>
    <col min="19" max="19" width="15.140625" style="47" bestFit="1" customWidth="1"/>
    <col min="20" max="20" width="17.42578125" style="57" bestFit="1" customWidth="1"/>
    <col min="21" max="21" width="20.140625" style="33" bestFit="1" customWidth="1"/>
    <col min="22" max="22" width="17.7109375" style="49" hidden="1" customWidth="1" outlineLevel="1"/>
    <col min="23" max="23" width="16.85546875" style="34" hidden="1" customWidth="1" outlineLevel="1"/>
    <col min="24" max="24" width="26.85546875" style="34" hidden="1" customWidth="1" outlineLevel="1"/>
    <col min="25" max="25" width="18.42578125" style="34" hidden="1" customWidth="1" outlineLevel="1"/>
    <col min="26" max="26" width="60" style="34" hidden="1" customWidth="1" outlineLevel="1"/>
    <col min="27" max="27" width="18.42578125" style="50" hidden="1" customWidth="1" outlineLevel="1"/>
    <col min="28" max="29" width="18.42578125" style="34" hidden="1" customWidth="1" outlineLevel="1"/>
    <col min="30" max="30" width="15" style="34" hidden="1" customWidth="1" outlineLevel="1"/>
    <col min="31" max="31" width="15.140625" style="34" hidden="1" customWidth="1" outlineLevel="1"/>
    <col min="32" max="32" width="13" style="33" collapsed="1"/>
    <col min="33" max="16384" width="13" style="33"/>
  </cols>
  <sheetData>
    <row r="1" spans="1:31" s="19" customFormat="1" ht="14.4" x14ac:dyDescent="0.3">
      <c r="A1" s="40" t="s">
        <v>43</v>
      </c>
      <c r="B1" s="40"/>
      <c r="C1" s="40"/>
      <c r="D1" s="40"/>
      <c r="E1" s="40"/>
      <c r="F1" s="42"/>
      <c r="G1" s="42"/>
      <c r="H1" s="41"/>
      <c r="I1" s="64" t="s">
        <v>54</v>
      </c>
      <c r="J1" s="65"/>
      <c r="K1" s="65"/>
      <c r="L1" s="65"/>
      <c r="M1" s="66"/>
      <c r="O1" s="45"/>
      <c r="R1" s="45"/>
      <c r="S1" s="20"/>
      <c r="T1" s="55"/>
      <c r="V1" s="21"/>
      <c r="W1" s="13"/>
      <c r="X1" s="13"/>
      <c r="Y1" s="13"/>
      <c r="Z1" s="13"/>
      <c r="AA1" s="14"/>
      <c r="AB1" s="13"/>
      <c r="AC1" s="13"/>
      <c r="AD1" s="13"/>
      <c r="AE1" s="13"/>
    </row>
    <row r="2" spans="1:31" s="19" customFormat="1" ht="14.4" x14ac:dyDescent="0.3">
      <c r="A2" s="36" t="s">
        <v>44</v>
      </c>
      <c r="B2" s="36"/>
      <c r="C2" s="36"/>
      <c r="D2" s="36"/>
      <c r="E2" s="36"/>
      <c r="F2" s="43"/>
      <c r="G2" s="43"/>
      <c r="H2" s="37"/>
      <c r="I2" s="67" t="s">
        <v>48</v>
      </c>
      <c r="J2" s="68"/>
      <c r="K2" s="68"/>
      <c r="L2" s="68"/>
      <c r="M2" s="69"/>
      <c r="O2" s="45"/>
      <c r="R2" s="45"/>
      <c r="S2" s="20"/>
      <c r="T2" s="55"/>
      <c r="V2" s="21"/>
      <c r="W2" s="13"/>
      <c r="X2" s="13"/>
      <c r="Y2" s="13"/>
      <c r="Z2" s="13"/>
      <c r="AA2" s="14"/>
      <c r="AB2" s="13"/>
      <c r="AC2" s="13"/>
      <c r="AD2" s="13"/>
      <c r="AE2" s="13"/>
    </row>
    <row r="3" spans="1:31" s="19" customFormat="1" ht="14.4" x14ac:dyDescent="0.3">
      <c r="A3" s="36" t="s">
        <v>45</v>
      </c>
      <c r="B3" s="36"/>
      <c r="C3" s="36"/>
      <c r="D3" s="36"/>
      <c r="E3" s="36"/>
      <c r="F3" s="43"/>
      <c r="G3" s="43"/>
      <c r="H3" s="37"/>
      <c r="I3" s="67" t="s">
        <v>49</v>
      </c>
      <c r="J3" s="68"/>
      <c r="K3" s="68"/>
      <c r="L3" s="68"/>
      <c r="M3" s="69"/>
      <c r="O3" s="45"/>
      <c r="R3" s="45"/>
      <c r="S3" s="20"/>
      <c r="T3" s="55"/>
      <c r="V3" s="21"/>
      <c r="W3" s="13"/>
      <c r="X3" s="13"/>
      <c r="Y3" s="13"/>
      <c r="Z3" s="13"/>
      <c r="AA3" s="14"/>
      <c r="AB3" s="13"/>
      <c r="AC3" s="13"/>
      <c r="AD3" s="13"/>
      <c r="AE3" s="13"/>
    </row>
    <row r="4" spans="1:31" s="19" customFormat="1" ht="15" thickBot="1" x14ac:dyDescent="0.35">
      <c r="A4" s="38" t="s">
        <v>46</v>
      </c>
      <c r="B4" s="38"/>
      <c r="C4" s="38"/>
      <c r="D4" s="38"/>
      <c r="E4" s="38"/>
      <c r="F4" s="44"/>
      <c r="G4" s="44"/>
      <c r="H4" s="39"/>
      <c r="I4" s="70" t="s">
        <v>50</v>
      </c>
      <c r="J4" s="71"/>
      <c r="K4" s="71"/>
      <c r="L4" s="71"/>
      <c r="M4" s="72"/>
      <c r="O4" s="45"/>
      <c r="R4" s="45"/>
      <c r="S4" s="20"/>
      <c r="T4" s="55"/>
      <c r="V4" s="21"/>
      <c r="W4" s="13"/>
      <c r="X4" s="13"/>
      <c r="Y4" s="13"/>
      <c r="Z4" s="13"/>
      <c r="AA4" s="14"/>
      <c r="AB4" s="13"/>
      <c r="AC4" s="13"/>
      <c r="AD4" s="13"/>
      <c r="AE4" s="13"/>
    </row>
    <row r="5" spans="1:31" s="23" customFormat="1" ht="24.75" customHeight="1" x14ac:dyDescent="0.4">
      <c r="A5" s="73"/>
      <c r="B5" s="73"/>
      <c r="C5" s="73"/>
      <c r="D5" s="73"/>
      <c r="E5" s="73"/>
      <c r="F5" s="73"/>
      <c r="G5" s="73"/>
      <c r="H5" s="73"/>
      <c r="I5" s="73"/>
      <c r="J5" s="73"/>
      <c r="K5" s="73"/>
      <c r="L5" s="73"/>
      <c r="M5" s="73"/>
      <c r="N5" s="73"/>
      <c r="O5" s="73"/>
      <c r="P5" s="73"/>
      <c r="Q5" s="73"/>
      <c r="R5" s="73"/>
      <c r="S5" s="73"/>
      <c r="T5" s="73"/>
      <c r="U5" s="73"/>
      <c r="V5" s="22"/>
      <c r="W5" s="15"/>
      <c r="X5" s="15"/>
      <c r="Y5" s="15"/>
      <c r="Z5" s="15"/>
      <c r="AA5" s="16"/>
      <c r="AB5" s="15"/>
      <c r="AC5" s="15"/>
      <c r="AD5" s="15"/>
      <c r="AE5" s="15"/>
    </row>
    <row r="6" spans="1:31" s="23" customFormat="1" ht="21.6" thickBot="1" x14ac:dyDescent="0.45">
      <c r="A6" s="63"/>
      <c r="B6" s="63"/>
      <c r="C6" s="63"/>
      <c r="D6" s="63"/>
      <c r="E6" s="63"/>
      <c r="F6" s="63"/>
      <c r="G6" s="63"/>
      <c r="H6" s="63"/>
      <c r="I6" s="63"/>
      <c r="J6" s="63"/>
      <c r="K6" s="63"/>
      <c r="L6" s="63"/>
      <c r="M6" s="63"/>
      <c r="N6" s="63"/>
      <c r="O6" s="63"/>
      <c r="P6" s="63"/>
      <c r="Q6" s="63"/>
      <c r="R6" s="63"/>
      <c r="S6" s="63"/>
      <c r="T6" s="63"/>
      <c r="U6" s="63"/>
      <c r="V6" s="22"/>
      <c r="W6" s="15"/>
      <c r="X6" s="15"/>
      <c r="Y6" s="15"/>
      <c r="Z6" s="15"/>
      <c r="AA6" s="16"/>
      <c r="AB6" s="15"/>
      <c r="AC6" s="15"/>
      <c r="AD6" s="15"/>
      <c r="AE6" s="15"/>
    </row>
    <row r="7" spans="1:31" s="32" customFormat="1" ht="48.6" thickBot="1" x14ac:dyDescent="0.25">
      <c r="A7" s="24" t="s">
        <v>60</v>
      </c>
      <c r="B7" s="24" t="s">
        <v>47</v>
      </c>
      <c r="C7" s="24" t="s">
        <v>41</v>
      </c>
      <c r="D7" s="24" t="s">
        <v>34</v>
      </c>
      <c r="E7" s="24" t="s">
        <v>58</v>
      </c>
      <c r="F7" s="25" t="s">
        <v>35</v>
      </c>
      <c r="G7" s="25" t="s">
        <v>0</v>
      </c>
      <c r="H7" s="26" t="s">
        <v>36</v>
      </c>
      <c r="I7" s="26" t="s">
        <v>1</v>
      </c>
      <c r="J7" s="27" t="s">
        <v>39</v>
      </c>
      <c r="K7" s="26" t="s">
        <v>7</v>
      </c>
      <c r="L7" s="28" t="s">
        <v>37</v>
      </c>
      <c r="M7" s="28" t="s">
        <v>32</v>
      </c>
      <c r="N7" s="28" t="s">
        <v>2</v>
      </c>
      <c r="O7" s="58" t="s">
        <v>3</v>
      </c>
      <c r="P7" s="29" t="s">
        <v>4</v>
      </c>
      <c r="Q7" s="30" t="s">
        <v>5</v>
      </c>
      <c r="R7" s="46" t="s">
        <v>6</v>
      </c>
      <c r="S7" s="25" t="s">
        <v>38</v>
      </c>
      <c r="T7" s="56" t="s">
        <v>57</v>
      </c>
      <c r="U7" s="31" t="s">
        <v>33</v>
      </c>
      <c r="V7" s="17" t="s">
        <v>59</v>
      </c>
      <c r="W7" s="17" t="s">
        <v>51</v>
      </c>
      <c r="X7" s="17" t="s">
        <v>52</v>
      </c>
      <c r="Y7" s="17" t="s">
        <v>53</v>
      </c>
      <c r="Z7" s="17" t="s">
        <v>9</v>
      </c>
      <c r="AA7" s="17" t="s">
        <v>10</v>
      </c>
      <c r="AB7" s="18" t="s">
        <v>11</v>
      </c>
      <c r="AC7" s="18" t="s">
        <v>12</v>
      </c>
      <c r="AD7" s="17" t="s">
        <v>13</v>
      </c>
      <c r="AE7" s="17" t="s">
        <v>14</v>
      </c>
    </row>
    <row r="8" spans="1:31" x14ac:dyDescent="0.2">
      <c r="A8" s="76" t="s">
        <v>63</v>
      </c>
      <c r="B8" s="76" t="s">
        <v>64</v>
      </c>
      <c r="C8" s="76" t="s">
        <v>65</v>
      </c>
      <c r="D8" s="76" t="s">
        <v>66</v>
      </c>
      <c r="E8" s="76" t="s">
        <v>67</v>
      </c>
      <c r="F8" s="77">
        <v>45841</v>
      </c>
      <c r="G8" s="77">
        <v>45871</v>
      </c>
      <c r="H8" s="76" t="s">
        <v>68</v>
      </c>
      <c r="I8" s="76" t="s">
        <v>69</v>
      </c>
      <c r="J8" s="76" t="s">
        <v>70</v>
      </c>
      <c r="K8" s="76" t="s">
        <v>71</v>
      </c>
      <c r="L8" s="76" t="s">
        <v>72</v>
      </c>
      <c r="M8" s="76" t="s">
        <v>73</v>
      </c>
      <c r="N8" s="76" t="s">
        <v>74</v>
      </c>
      <c r="O8" s="76" t="s">
        <v>75</v>
      </c>
      <c r="P8" s="76">
        <v>1</v>
      </c>
      <c r="Q8" s="76">
        <v>0</v>
      </c>
      <c r="R8" s="76">
        <v>1</v>
      </c>
      <c r="S8" s="76" t="s">
        <v>472</v>
      </c>
      <c r="T8" s="76" t="s">
        <v>76</v>
      </c>
      <c r="U8" s="76" t="s">
        <v>76</v>
      </c>
      <c r="V8" s="76">
        <v>21179079</v>
      </c>
      <c r="W8" s="76" t="s">
        <v>63</v>
      </c>
      <c r="X8" s="76" t="s">
        <v>78</v>
      </c>
      <c r="Y8" s="76">
        <v>11</v>
      </c>
      <c r="Z8" s="76" t="s">
        <v>79</v>
      </c>
      <c r="AA8" s="76" t="s">
        <v>80</v>
      </c>
      <c r="AB8" s="76">
        <v>1</v>
      </c>
      <c r="AC8" s="76" t="s">
        <v>80</v>
      </c>
      <c r="AD8" s="77" t="s">
        <v>77</v>
      </c>
      <c r="AE8" s="77" t="s">
        <v>77</v>
      </c>
    </row>
    <row r="9" spans="1:31" x14ac:dyDescent="0.2">
      <c r="A9" s="76" t="s">
        <v>81</v>
      </c>
      <c r="B9" s="76" t="s">
        <v>64</v>
      </c>
      <c r="C9" s="76" t="s">
        <v>82</v>
      </c>
      <c r="D9" s="76" t="s">
        <v>83</v>
      </c>
      <c r="E9" s="76" t="s">
        <v>84</v>
      </c>
      <c r="F9" s="77">
        <v>45841</v>
      </c>
      <c r="G9" s="77">
        <v>45871</v>
      </c>
      <c r="H9" s="76" t="s">
        <v>68</v>
      </c>
      <c r="I9" s="76" t="s">
        <v>69</v>
      </c>
      <c r="J9" s="76" t="s">
        <v>85</v>
      </c>
      <c r="K9" s="76" t="s">
        <v>71</v>
      </c>
      <c r="L9" s="76" t="s">
        <v>86</v>
      </c>
      <c r="M9" s="76" t="s">
        <v>87</v>
      </c>
      <c r="N9" s="76" t="s">
        <v>88</v>
      </c>
      <c r="O9" s="76" t="s">
        <v>89</v>
      </c>
      <c r="P9" s="76">
        <v>1</v>
      </c>
      <c r="Q9" s="76">
        <v>1</v>
      </c>
      <c r="R9" s="76">
        <v>0</v>
      </c>
      <c r="S9" s="76" t="s">
        <v>76</v>
      </c>
      <c r="T9" s="76" t="s">
        <v>76</v>
      </c>
      <c r="U9" s="76" t="s">
        <v>76</v>
      </c>
      <c r="V9" s="76">
        <v>21179278</v>
      </c>
      <c r="W9" s="76" t="s">
        <v>81</v>
      </c>
      <c r="X9" s="76" t="s">
        <v>90</v>
      </c>
      <c r="Y9" s="76">
        <v>7</v>
      </c>
      <c r="Z9" s="76" t="s">
        <v>91</v>
      </c>
      <c r="AA9" s="76" t="s">
        <v>80</v>
      </c>
      <c r="AB9" s="76">
        <v>1</v>
      </c>
      <c r="AC9" s="76" t="s">
        <v>80</v>
      </c>
      <c r="AD9" s="77" t="s">
        <v>77</v>
      </c>
      <c r="AE9" s="77" t="s">
        <v>77</v>
      </c>
    </row>
    <row r="10" spans="1:31" x14ac:dyDescent="0.2">
      <c r="A10" s="76" t="s">
        <v>92</v>
      </c>
      <c r="B10" s="76" t="s">
        <v>64</v>
      </c>
      <c r="C10" s="76" t="s">
        <v>65</v>
      </c>
      <c r="D10" s="76" t="s">
        <v>93</v>
      </c>
      <c r="E10" s="76" t="s">
        <v>94</v>
      </c>
      <c r="F10" s="77">
        <v>45931</v>
      </c>
      <c r="G10" s="77">
        <v>45955</v>
      </c>
      <c r="H10" s="76" t="s">
        <v>95</v>
      </c>
      <c r="I10" s="76" t="s">
        <v>69</v>
      </c>
      <c r="J10" s="76" t="s">
        <v>96</v>
      </c>
      <c r="K10" s="76" t="s">
        <v>71</v>
      </c>
      <c r="L10" s="76" t="s">
        <v>97</v>
      </c>
      <c r="M10" s="76" t="s">
        <v>73</v>
      </c>
      <c r="N10" s="76" t="s">
        <v>74</v>
      </c>
      <c r="O10" s="76" t="s">
        <v>98</v>
      </c>
      <c r="P10" s="76">
        <v>1</v>
      </c>
      <c r="Q10" s="76">
        <v>0</v>
      </c>
      <c r="R10" s="76">
        <v>1</v>
      </c>
      <c r="S10" s="76" t="s">
        <v>472</v>
      </c>
      <c r="T10" s="76" t="s">
        <v>76</v>
      </c>
      <c r="U10" s="76" t="s">
        <v>76</v>
      </c>
      <c r="V10" s="76">
        <v>21630244</v>
      </c>
      <c r="W10" s="76" t="s">
        <v>92</v>
      </c>
      <c r="X10" s="76" t="s">
        <v>78</v>
      </c>
      <c r="Y10" s="76">
        <v>7</v>
      </c>
      <c r="Z10" s="76" t="s">
        <v>99</v>
      </c>
      <c r="AA10" s="76" t="s">
        <v>80</v>
      </c>
      <c r="AB10" s="76">
        <v>1</v>
      </c>
      <c r="AC10" s="76" t="s">
        <v>80</v>
      </c>
      <c r="AD10" s="77" t="s">
        <v>77</v>
      </c>
      <c r="AE10" s="77" t="s">
        <v>77</v>
      </c>
    </row>
    <row r="11" spans="1:31" x14ac:dyDescent="0.2">
      <c r="A11" s="76" t="s">
        <v>92</v>
      </c>
      <c r="B11" s="76" t="s">
        <v>64</v>
      </c>
      <c r="C11" s="76" t="s">
        <v>65</v>
      </c>
      <c r="D11" s="76" t="s">
        <v>93</v>
      </c>
      <c r="E11" s="76" t="s">
        <v>94</v>
      </c>
      <c r="F11" s="77">
        <v>45931</v>
      </c>
      <c r="G11" s="77">
        <v>45955</v>
      </c>
      <c r="H11" s="76" t="s">
        <v>95</v>
      </c>
      <c r="I11" s="76" t="s">
        <v>69</v>
      </c>
      <c r="J11" s="76" t="s">
        <v>96</v>
      </c>
      <c r="K11" s="76" t="s">
        <v>71</v>
      </c>
      <c r="L11" s="76" t="s">
        <v>100</v>
      </c>
      <c r="M11" s="76" t="s">
        <v>73</v>
      </c>
      <c r="N11" s="76" t="s">
        <v>74</v>
      </c>
      <c r="O11" s="76" t="s">
        <v>101</v>
      </c>
      <c r="P11" s="76">
        <v>1</v>
      </c>
      <c r="Q11" s="76">
        <v>0</v>
      </c>
      <c r="R11" s="76">
        <v>1</v>
      </c>
      <c r="S11" s="76" t="s">
        <v>472</v>
      </c>
      <c r="T11" s="76" t="s">
        <v>76</v>
      </c>
      <c r="U11" s="76" t="s">
        <v>76</v>
      </c>
      <c r="V11" s="76">
        <v>21630244</v>
      </c>
      <c r="W11" s="76" t="s">
        <v>92</v>
      </c>
      <c r="X11" s="76" t="s">
        <v>78</v>
      </c>
      <c r="Y11" s="76">
        <v>8</v>
      </c>
      <c r="Z11" s="76" t="s">
        <v>102</v>
      </c>
      <c r="AA11" s="76" t="s">
        <v>80</v>
      </c>
      <c r="AB11" s="76">
        <v>1</v>
      </c>
      <c r="AC11" s="76" t="s">
        <v>80</v>
      </c>
      <c r="AD11" s="77" t="s">
        <v>77</v>
      </c>
      <c r="AE11" s="77" t="s">
        <v>77</v>
      </c>
    </row>
    <row r="12" spans="1:31" x14ac:dyDescent="0.2">
      <c r="A12" s="76" t="s">
        <v>92</v>
      </c>
      <c r="B12" s="76" t="s">
        <v>64</v>
      </c>
      <c r="C12" s="76" t="s">
        <v>65</v>
      </c>
      <c r="D12" s="76" t="s">
        <v>93</v>
      </c>
      <c r="E12" s="76" t="s">
        <v>94</v>
      </c>
      <c r="F12" s="77">
        <v>45931</v>
      </c>
      <c r="G12" s="77">
        <v>45955</v>
      </c>
      <c r="H12" s="76" t="s">
        <v>95</v>
      </c>
      <c r="I12" s="76" t="s">
        <v>69</v>
      </c>
      <c r="J12" s="76" t="s">
        <v>96</v>
      </c>
      <c r="K12" s="76" t="s">
        <v>71</v>
      </c>
      <c r="L12" s="76" t="s">
        <v>103</v>
      </c>
      <c r="M12" s="76" t="s">
        <v>104</v>
      </c>
      <c r="N12" s="76" t="s">
        <v>105</v>
      </c>
      <c r="O12" s="76" t="s">
        <v>106</v>
      </c>
      <c r="P12" s="76">
        <v>1</v>
      </c>
      <c r="Q12" s="76">
        <v>0</v>
      </c>
      <c r="R12" s="76">
        <v>1</v>
      </c>
      <c r="S12" s="76" t="s">
        <v>473</v>
      </c>
      <c r="T12" s="76" t="s">
        <v>76</v>
      </c>
      <c r="U12" s="76" t="s">
        <v>76</v>
      </c>
      <c r="V12" s="76">
        <v>21630244</v>
      </c>
      <c r="W12" s="76" t="s">
        <v>92</v>
      </c>
      <c r="X12" s="76" t="s">
        <v>78</v>
      </c>
      <c r="Y12" s="76">
        <v>13</v>
      </c>
      <c r="Z12" s="76" t="s">
        <v>107</v>
      </c>
      <c r="AA12" s="76" t="s">
        <v>80</v>
      </c>
      <c r="AB12" s="76">
        <v>1</v>
      </c>
      <c r="AC12" s="76" t="s">
        <v>80</v>
      </c>
      <c r="AD12" s="77" t="s">
        <v>77</v>
      </c>
      <c r="AE12" s="77" t="s">
        <v>77</v>
      </c>
    </row>
    <row r="13" spans="1:31" x14ac:dyDescent="0.2">
      <c r="A13" s="76" t="s">
        <v>108</v>
      </c>
      <c r="B13" s="76" t="s">
        <v>64</v>
      </c>
      <c r="C13" s="76" t="s">
        <v>109</v>
      </c>
      <c r="D13" s="76" t="s">
        <v>110</v>
      </c>
      <c r="E13" s="76" t="s">
        <v>111</v>
      </c>
      <c r="F13" s="77">
        <v>45931</v>
      </c>
      <c r="G13" s="77">
        <v>45955</v>
      </c>
      <c r="H13" s="76" t="s">
        <v>95</v>
      </c>
      <c r="I13" s="76" t="s">
        <v>69</v>
      </c>
      <c r="J13" s="76" t="s">
        <v>112</v>
      </c>
      <c r="K13" s="76" t="s">
        <v>71</v>
      </c>
      <c r="L13" s="76" t="s">
        <v>113</v>
      </c>
      <c r="M13" s="76" t="s">
        <v>73</v>
      </c>
      <c r="N13" s="76" t="s">
        <v>74</v>
      </c>
      <c r="O13" s="76" t="s">
        <v>114</v>
      </c>
      <c r="P13" s="76">
        <v>1</v>
      </c>
      <c r="Q13" s="76">
        <v>0</v>
      </c>
      <c r="R13" s="76">
        <v>1</v>
      </c>
      <c r="S13" s="76" t="s">
        <v>472</v>
      </c>
      <c r="T13" s="76" t="s">
        <v>76</v>
      </c>
      <c r="U13" s="76" t="s">
        <v>76</v>
      </c>
      <c r="V13" s="76">
        <v>21630114</v>
      </c>
      <c r="W13" s="76" t="s">
        <v>108</v>
      </c>
      <c r="X13" s="76" t="s">
        <v>115</v>
      </c>
      <c r="Y13" s="76">
        <v>14</v>
      </c>
      <c r="Z13" s="76" t="s">
        <v>116</v>
      </c>
      <c r="AA13" s="76" t="s">
        <v>80</v>
      </c>
      <c r="AB13" s="76">
        <v>1</v>
      </c>
      <c r="AC13" s="76" t="s">
        <v>80</v>
      </c>
      <c r="AD13" s="77" t="s">
        <v>77</v>
      </c>
      <c r="AE13" s="77" t="s">
        <v>77</v>
      </c>
    </row>
    <row r="14" spans="1:31" x14ac:dyDescent="0.2">
      <c r="A14" s="76" t="s">
        <v>117</v>
      </c>
      <c r="B14" s="76" t="s">
        <v>64</v>
      </c>
      <c r="C14" s="76" t="s">
        <v>65</v>
      </c>
      <c r="D14" s="76" t="s">
        <v>118</v>
      </c>
      <c r="E14" s="76" t="s">
        <v>119</v>
      </c>
      <c r="F14" s="77">
        <v>45952</v>
      </c>
      <c r="G14" s="77">
        <v>45982</v>
      </c>
      <c r="H14" s="76" t="s">
        <v>95</v>
      </c>
      <c r="I14" s="76" t="s">
        <v>69</v>
      </c>
      <c r="J14" s="76" t="s">
        <v>120</v>
      </c>
      <c r="K14" s="76" t="s">
        <v>71</v>
      </c>
      <c r="L14" s="76" t="s">
        <v>121</v>
      </c>
      <c r="M14" s="76" t="s">
        <v>73</v>
      </c>
      <c r="N14" s="76" t="s">
        <v>74</v>
      </c>
      <c r="O14" s="76" t="s">
        <v>122</v>
      </c>
      <c r="P14" s="76">
        <v>1</v>
      </c>
      <c r="Q14" s="76">
        <v>0</v>
      </c>
      <c r="R14" s="76">
        <v>1</v>
      </c>
      <c r="S14" s="76" t="s">
        <v>472</v>
      </c>
      <c r="T14" s="76" t="s">
        <v>76</v>
      </c>
      <c r="U14" s="76" t="s">
        <v>76</v>
      </c>
      <c r="V14" s="76">
        <v>21760180</v>
      </c>
      <c r="W14" s="76" t="s">
        <v>117</v>
      </c>
      <c r="X14" s="76" t="s">
        <v>78</v>
      </c>
      <c r="Y14" s="76">
        <v>9</v>
      </c>
      <c r="Z14" s="76" t="s">
        <v>123</v>
      </c>
      <c r="AA14" s="76" t="s">
        <v>80</v>
      </c>
      <c r="AB14" s="76">
        <v>1</v>
      </c>
      <c r="AC14" s="76" t="s">
        <v>80</v>
      </c>
      <c r="AD14" s="77" t="s">
        <v>77</v>
      </c>
      <c r="AE14" s="77" t="s">
        <v>77</v>
      </c>
    </row>
    <row r="15" spans="1:31" x14ac:dyDescent="0.2">
      <c r="A15" s="76" t="s">
        <v>117</v>
      </c>
      <c r="B15" s="76" t="s">
        <v>64</v>
      </c>
      <c r="C15" s="76" t="s">
        <v>65</v>
      </c>
      <c r="D15" s="76" t="s">
        <v>118</v>
      </c>
      <c r="E15" s="76" t="s">
        <v>119</v>
      </c>
      <c r="F15" s="77">
        <v>45952</v>
      </c>
      <c r="G15" s="77">
        <v>45982</v>
      </c>
      <c r="H15" s="76" t="s">
        <v>95</v>
      </c>
      <c r="I15" s="76" t="s">
        <v>69</v>
      </c>
      <c r="J15" s="76" t="s">
        <v>120</v>
      </c>
      <c r="K15" s="76" t="s">
        <v>71</v>
      </c>
      <c r="L15" s="76" t="s">
        <v>72</v>
      </c>
      <c r="M15" s="76" t="s">
        <v>73</v>
      </c>
      <c r="N15" s="76" t="s">
        <v>74</v>
      </c>
      <c r="O15" s="76" t="s">
        <v>75</v>
      </c>
      <c r="P15" s="76">
        <v>1</v>
      </c>
      <c r="Q15" s="76">
        <v>0</v>
      </c>
      <c r="R15" s="76">
        <v>1</v>
      </c>
      <c r="S15" s="76" t="s">
        <v>472</v>
      </c>
      <c r="T15" s="76" t="s">
        <v>76</v>
      </c>
      <c r="U15" s="76" t="s">
        <v>76</v>
      </c>
      <c r="V15" s="76">
        <v>21760180</v>
      </c>
      <c r="W15" s="76" t="s">
        <v>117</v>
      </c>
      <c r="X15" s="76" t="s">
        <v>78</v>
      </c>
      <c r="Y15" s="76">
        <v>10</v>
      </c>
      <c r="Z15" s="76" t="s">
        <v>79</v>
      </c>
      <c r="AA15" s="76" t="s">
        <v>80</v>
      </c>
      <c r="AB15" s="76">
        <v>1</v>
      </c>
      <c r="AC15" s="76" t="s">
        <v>80</v>
      </c>
      <c r="AD15" s="77" t="s">
        <v>77</v>
      </c>
      <c r="AE15" s="77" t="s">
        <v>77</v>
      </c>
    </row>
    <row r="16" spans="1:31" x14ac:dyDescent="0.2">
      <c r="A16" s="76" t="s">
        <v>124</v>
      </c>
      <c r="B16" s="76" t="s">
        <v>64</v>
      </c>
      <c r="C16" s="76" t="s">
        <v>109</v>
      </c>
      <c r="D16" s="76" t="s">
        <v>125</v>
      </c>
      <c r="E16" s="76" t="s">
        <v>126</v>
      </c>
      <c r="F16" s="77">
        <v>45952</v>
      </c>
      <c r="G16" s="77">
        <v>45982</v>
      </c>
      <c r="H16" s="76" t="s">
        <v>95</v>
      </c>
      <c r="I16" s="76" t="s">
        <v>69</v>
      </c>
      <c r="J16" s="76" t="s">
        <v>127</v>
      </c>
      <c r="K16" s="76" t="s">
        <v>71</v>
      </c>
      <c r="L16" s="76" t="s">
        <v>113</v>
      </c>
      <c r="M16" s="76" t="s">
        <v>73</v>
      </c>
      <c r="N16" s="76" t="s">
        <v>74</v>
      </c>
      <c r="O16" s="76" t="s">
        <v>114</v>
      </c>
      <c r="P16" s="76">
        <v>1</v>
      </c>
      <c r="Q16" s="76">
        <v>0</v>
      </c>
      <c r="R16" s="76">
        <v>1</v>
      </c>
      <c r="S16" s="76" t="s">
        <v>472</v>
      </c>
      <c r="T16" s="76" t="s">
        <v>76</v>
      </c>
      <c r="U16" s="76" t="s">
        <v>76</v>
      </c>
      <c r="V16" s="76">
        <v>21760378</v>
      </c>
      <c r="W16" s="76" t="s">
        <v>124</v>
      </c>
      <c r="X16" s="76" t="s">
        <v>115</v>
      </c>
      <c r="Y16" s="76">
        <v>4</v>
      </c>
      <c r="Z16" s="76" t="s">
        <v>116</v>
      </c>
      <c r="AA16" s="76" t="s">
        <v>80</v>
      </c>
      <c r="AB16" s="76">
        <v>1</v>
      </c>
      <c r="AC16" s="76" t="s">
        <v>80</v>
      </c>
      <c r="AD16" s="77" t="s">
        <v>77</v>
      </c>
      <c r="AE16" s="77" t="s">
        <v>77</v>
      </c>
    </row>
    <row r="17" spans="1:31" x14ac:dyDescent="0.2">
      <c r="A17" s="76" t="s">
        <v>124</v>
      </c>
      <c r="B17" s="76" t="s">
        <v>64</v>
      </c>
      <c r="C17" s="76" t="s">
        <v>109</v>
      </c>
      <c r="D17" s="76" t="s">
        <v>125</v>
      </c>
      <c r="E17" s="76" t="s">
        <v>126</v>
      </c>
      <c r="F17" s="77">
        <v>45952</v>
      </c>
      <c r="G17" s="77">
        <v>45982</v>
      </c>
      <c r="H17" s="76" t="s">
        <v>95</v>
      </c>
      <c r="I17" s="76" t="s">
        <v>69</v>
      </c>
      <c r="J17" s="76" t="s">
        <v>127</v>
      </c>
      <c r="K17" s="76" t="s">
        <v>71</v>
      </c>
      <c r="L17" s="76" t="s">
        <v>128</v>
      </c>
      <c r="M17" s="76" t="s">
        <v>73</v>
      </c>
      <c r="N17" s="76" t="s">
        <v>74</v>
      </c>
      <c r="O17" s="76" t="s">
        <v>129</v>
      </c>
      <c r="P17" s="76">
        <v>1</v>
      </c>
      <c r="Q17" s="76">
        <v>0</v>
      </c>
      <c r="R17" s="76">
        <v>1</v>
      </c>
      <c r="S17" s="76" t="s">
        <v>472</v>
      </c>
      <c r="T17" s="76" t="s">
        <v>76</v>
      </c>
      <c r="U17" s="76" t="s">
        <v>76</v>
      </c>
      <c r="V17" s="76">
        <v>21760378</v>
      </c>
      <c r="W17" s="76" t="s">
        <v>124</v>
      </c>
      <c r="X17" s="76" t="s">
        <v>115</v>
      </c>
      <c r="Y17" s="76">
        <v>5</v>
      </c>
      <c r="Z17" s="76" t="s">
        <v>130</v>
      </c>
      <c r="AA17" s="76" t="s">
        <v>80</v>
      </c>
      <c r="AB17" s="76">
        <v>1</v>
      </c>
      <c r="AC17" s="76" t="s">
        <v>80</v>
      </c>
      <c r="AD17" s="77" t="s">
        <v>77</v>
      </c>
      <c r="AE17" s="77" t="s">
        <v>77</v>
      </c>
    </row>
    <row r="18" spans="1:31" x14ac:dyDescent="0.2">
      <c r="A18" s="76" t="s">
        <v>124</v>
      </c>
      <c r="B18" s="76" t="s">
        <v>64</v>
      </c>
      <c r="C18" s="76" t="s">
        <v>109</v>
      </c>
      <c r="D18" s="76" t="s">
        <v>125</v>
      </c>
      <c r="E18" s="76" t="s">
        <v>126</v>
      </c>
      <c r="F18" s="77">
        <v>45952</v>
      </c>
      <c r="G18" s="77">
        <v>45982</v>
      </c>
      <c r="H18" s="76" t="s">
        <v>95</v>
      </c>
      <c r="I18" s="76" t="s">
        <v>69</v>
      </c>
      <c r="J18" s="76" t="s">
        <v>127</v>
      </c>
      <c r="K18" s="76" t="s">
        <v>71</v>
      </c>
      <c r="L18" s="76" t="s">
        <v>131</v>
      </c>
      <c r="M18" s="76" t="s">
        <v>132</v>
      </c>
      <c r="N18" s="76" t="s">
        <v>133</v>
      </c>
      <c r="O18" s="76" t="s">
        <v>134</v>
      </c>
      <c r="P18" s="76">
        <v>1</v>
      </c>
      <c r="Q18" s="76">
        <v>0</v>
      </c>
      <c r="R18" s="76">
        <v>1</v>
      </c>
      <c r="S18" s="76" t="s">
        <v>473</v>
      </c>
      <c r="T18" s="76" t="s">
        <v>76</v>
      </c>
      <c r="U18" s="76" t="s">
        <v>76</v>
      </c>
      <c r="V18" s="76">
        <v>21760378</v>
      </c>
      <c r="W18" s="76" t="s">
        <v>124</v>
      </c>
      <c r="X18" s="76" t="s">
        <v>115</v>
      </c>
      <c r="Y18" s="76">
        <v>6</v>
      </c>
      <c r="Z18" s="76" t="s">
        <v>135</v>
      </c>
      <c r="AA18" s="76" t="s">
        <v>80</v>
      </c>
      <c r="AB18" s="76">
        <v>1</v>
      </c>
      <c r="AC18" s="76" t="s">
        <v>80</v>
      </c>
      <c r="AD18" s="77" t="s">
        <v>77</v>
      </c>
      <c r="AE18" s="77" t="s">
        <v>77</v>
      </c>
    </row>
    <row r="19" spans="1:31" x14ac:dyDescent="0.2">
      <c r="A19" s="76" t="s">
        <v>136</v>
      </c>
      <c r="B19" s="76" t="s">
        <v>64</v>
      </c>
      <c r="C19" s="76" t="s">
        <v>82</v>
      </c>
      <c r="D19" s="76" t="s">
        <v>137</v>
      </c>
      <c r="E19" s="76" t="s">
        <v>138</v>
      </c>
      <c r="F19" s="77">
        <v>45952</v>
      </c>
      <c r="G19" s="77">
        <v>45982</v>
      </c>
      <c r="H19" s="76" t="s">
        <v>95</v>
      </c>
      <c r="I19" s="76" t="s">
        <v>69</v>
      </c>
      <c r="J19" s="76" t="s">
        <v>127</v>
      </c>
      <c r="K19" s="76" t="s">
        <v>71</v>
      </c>
      <c r="L19" s="76" t="s">
        <v>113</v>
      </c>
      <c r="M19" s="76" t="s">
        <v>73</v>
      </c>
      <c r="N19" s="76" t="s">
        <v>74</v>
      </c>
      <c r="O19" s="76" t="s">
        <v>114</v>
      </c>
      <c r="P19" s="76">
        <v>1</v>
      </c>
      <c r="Q19" s="76">
        <v>0</v>
      </c>
      <c r="R19" s="76">
        <v>1</v>
      </c>
      <c r="S19" s="76" t="s">
        <v>472</v>
      </c>
      <c r="T19" s="76" t="s">
        <v>76</v>
      </c>
      <c r="U19" s="76" t="s">
        <v>76</v>
      </c>
      <c r="V19" s="76">
        <v>21760181</v>
      </c>
      <c r="W19" s="76" t="s">
        <v>136</v>
      </c>
      <c r="X19" s="76" t="s">
        <v>90</v>
      </c>
      <c r="Y19" s="76">
        <v>4</v>
      </c>
      <c r="Z19" s="76" t="s">
        <v>116</v>
      </c>
      <c r="AA19" s="76" t="s">
        <v>80</v>
      </c>
      <c r="AB19" s="76">
        <v>1</v>
      </c>
      <c r="AC19" s="76" t="s">
        <v>80</v>
      </c>
      <c r="AD19" s="77" t="s">
        <v>77</v>
      </c>
      <c r="AE19" s="77" t="s">
        <v>77</v>
      </c>
    </row>
    <row r="20" spans="1:31" x14ac:dyDescent="0.2">
      <c r="A20" s="76" t="s">
        <v>136</v>
      </c>
      <c r="B20" s="76" t="s">
        <v>64</v>
      </c>
      <c r="C20" s="76" t="s">
        <v>82</v>
      </c>
      <c r="D20" s="76" t="s">
        <v>137</v>
      </c>
      <c r="E20" s="76" t="s">
        <v>138</v>
      </c>
      <c r="F20" s="77">
        <v>45952</v>
      </c>
      <c r="G20" s="77">
        <v>45982</v>
      </c>
      <c r="H20" s="76" t="s">
        <v>95</v>
      </c>
      <c r="I20" s="76" t="s">
        <v>69</v>
      </c>
      <c r="J20" s="76" t="s">
        <v>127</v>
      </c>
      <c r="K20" s="76" t="s">
        <v>71</v>
      </c>
      <c r="L20" s="76" t="s">
        <v>128</v>
      </c>
      <c r="M20" s="76" t="s">
        <v>73</v>
      </c>
      <c r="N20" s="76" t="s">
        <v>74</v>
      </c>
      <c r="O20" s="76" t="s">
        <v>129</v>
      </c>
      <c r="P20" s="76">
        <v>1</v>
      </c>
      <c r="Q20" s="76">
        <v>0</v>
      </c>
      <c r="R20" s="76">
        <v>1</v>
      </c>
      <c r="S20" s="76" t="s">
        <v>472</v>
      </c>
      <c r="T20" s="76" t="s">
        <v>76</v>
      </c>
      <c r="U20" s="76" t="s">
        <v>76</v>
      </c>
      <c r="V20" s="76">
        <v>21760181</v>
      </c>
      <c r="W20" s="76" t="s">
        <v>136</v>
      </c>
      <c r="X20" s="76" t="s">
        <v>90</v>
      </c>
      <c r="Y20" s="76">
        <v>5</v>
      </c>
      <c r="Z20" s="76" t="s">
        <v>130</v>
      </c>
      <c r="AA20" s="76" t="s">
        <v>80</v>
      </c>
      <c r="AB20" s="76">
        <v>1</v>
      </c>
      <c r="AC20" s="76" t="s">
        <v>80</v>
      </c>
      <c r="AD20" s="77" t="s">
        <v>77</v>
      </c>
      <c r="AE20" s="77" t="s">
        <v>77</v>
      </c>
    </row>
    <row r="21" spans="1:31" x14ac:dyDescent="0.2">
      <c r="A21" s="76" t="s">
        <v>136</v>
      </c>
      <c r="B21" s="76" t="s">
        <v>64</v>
      </c>
      <c r="C21" s="76" t="s">
        <v>82</v>
      </c>
      <c r="D21" s="76" t="s">
        <v>137</v>
      </c>
      <c r="E21" s="76" t="s">
        <v>138</v>
      </c>
      <c r="F21" s="77">
        <v>45952</v>
      </c>
      <c r="G21" s="77">
        <v>45982</v>
      </c>
      <c r="H21" s="76" t="s">
        <v>95</v>
      </c>
      <c r="I21" s="76" t="s">
        <v>69</v>
      </c>
      <c r="J21" s="76" t="s">
        <v>127</v>
      </c>
      <c r="K21" s="76" t="s">
        <v>71</v>
      </c>
      <c r="L21" s="76" t="s">
        <v>131</v>
      </c>
      <c r="M21" s="76" t="s">
        <v>132</v>
      </c>
      <c r="N21" s="76" t="s">
        <v>133</v>
      </c>
      <c r="O21" s="76" t="s">
        <v>134</v>
      </c>
      <c r="P21" s="76">
        <v>1</v>
      </c>
      <c r="Q21" s="76">
        <v>0</v>
      </c>
      <c r="R21" s="76">
        <v>1</v>
      </c>
      <c r="S21" s="76" t="s">
        <v>473</v>
      </c>
      <c r="T21" s="76" t="s">
        <v>76</v>
      </c>
      <c r="U21" s="76" t="s">
        <v>76</v>
      </c>
      <c r="V21" s="76">
        <v>21760181</v>
      </c>
      <c r="W21" s="76" t="s">
        <v>136</v>
      </c>
      <c r="X21" s="76" t="s">
        <v>90</v>
      </c>
      <c r="Y21" s="76">
        <v>6</v>
      </c>
      <c r="Z21" s="76" t="s">
        <v>135</v>
      </c>
      <c r="AA21" s="76" t="s">
        <v>80</v>
      </c>
      <c r="AB21" s="76">
        <v>1</v>
      </c>
      <c r="AC21" s="76" t="s">
        <v>80</v>
      </c>
      <c r="AD21" s="77" t="s">
        <v>77</v>
      </c>
      <c r="AE21" s="77" t="s">
        <v>77</v>
      </c>
    </row>
    <row r="22" spans="1:31" x14ac:dyDescent="0.2">
      <c r="A22" s="76" t="s">
        <v>139</v>
      </c>
      <c r="B22" s="76" t="s">
        <v>64</v>
      </c>
      <c r="C22" s="76" t="s">
        <v>109</v>
      </c>
      <c r="D22" s="76" t="s">
        <v>140</v>
      </c>
      <c r="E22" s="76" t="s">
        <v>126</v>
      </c>
      <c r="F22" s="77">
        <v>45962</v>
      </c>
      <c r="G22" s="77">
        <v>45992</v>
      </c>
      <c r="H22" s="76" t="s">
        <v>68</v>
      </c>
      <c r="I22" s="76" t="s">
        <v>69</v>
      </c>
      <c r="J22" s="76" t="s">
        <v>141</v>
      </c>
      <c r="K22" s="76" t="s">
        <v>71</v>
      </c>
      <c r="L22" s="76" t="s">
        <v>142</v>
      </c>
      <c r="M22" s="76" t="s">
        <v>143</v>
      </c>
      <c r="N22" s="76" t="s">
        <v>88</v>
      </c>
      <c r="O22" s="76" t="s">
        <v>144</v>
      </c>
      <c r="P22" s="76">
        <v>1</v>
      </c>
      <c r="Q22" s="76">
        <v>0</v>
      </c>
      <c r="R22" s="76">
        <v>1</v>
      </c>
      <c r="S22" s="76" t="s">
        <v>475</v>
      </c>
      <c r="T22" s="76" t="s">
        <v>76</v>
      </c>
      <c r="U22" s="76" t="s">
        <v>76</v>
      </c>
      <c r="V22" s="76">
        <v>19976595</v>
      </c>
      <c r="W22" s="76" t="s">
        <v>139</v>
      </c>
      <c r="X22" s="76" t="s">
        <v>115</v>
      </c>
      <c r="Y22" s="76">
        <v>9</v>
      </c>
      <c r="Z22" s="76" t="s">
        <v>145</v>
      </c>
      <c r="AA22" s="76" t="s">
        <v>80</v>
      </c>
      <c r="AB22" s="76">
        <v>1</v>
      </c>
      <c r="AC22" s="76" t="s">
        <v>80</v>
      </c>
      <c r="AD22" s="77" t="s">
        <v>77</v>
      </c>
      <c r="AE22" s="77" t="s">
        <v>77</v>
      </c>
    </row>
    <row r="23" spans="1:31" x14ac:dyDescent="0.2">
      <c r="A23" s="76" t="s">
        <v>146</v>
      </c>
      <c r="B23" s="76" t="s">
        <v>64</v>
      </c>
      <c r="C23" s="76" t="s">
        <v>65</v>
      </c>
      <c r="D23" s="76" t="s">
        <v>147</v>
      </c>
      <c r="E23" s="76" t="s">
        <v>119</v>
      </c>
      <c r="F23" s="77">
        <v>45962</v>
      </c>
      <c r="G23" s="77">
        <v>45992</v>
      </c>
      <c r="H23" s="76" t="s">
        <v>68</v>
      </c>
      <c r="I23" s="76" t="s">
        <v>69</v>
      </c>
      <c r="J23" s="76" t="s">
        <v>148</v>
      </c>
      <c r="K23" s="76" t="s">
        <v>71</v>
      </c>
      <c r="L23" s="76" t="s">
        <v>142</v>
      </c>
      <c r="M23" s="76" t="s">
        <v>143</v>
      </c>
      <c r="N23" s="76" t="s">
        <v>88</v>
      </c>
      <c r="O23" s="76" t="s">
        <v>144</v>
      </c>
      <c r="P23" s="76">
        <v>1</v>
      </c>
      <c r="Q23" s="76">
        <v>0</v>
      </c>
      <c r="R23" s="76">
        <v>1</v>
      </c>
      <c r="S23" s="76" t="s">
        <v>475</v>
      </c>
      <c r="T23" s="76" t="s">
        <v>76</v>
      </c>
      <c r="U23" s="76" t="s">
        <v>76</v>
      </c>
      <c r="V23" s="76">
        <v>19976610</v>
      </c>
      <c r="W23" s="76" t="s">
        <v>146</v>
      </c>
      <c r="X23" s="76" t="s">
        <v>78</v>
      </c>
      <c r="Y23" s="76">
        <v>12</v>
      </c>
      <c r="Z23" s="76" t="s">
        <v>145</v>
      </c>
      <c r="AA23" s="76" t="s">
        <v>80</v>
      </c>
      <c r="AB23" s="76">
        <v>1</v>
      </c>
      <c r="AC23" s="76" t="s">
        <v>80</v>
      </c>
      <c r="AD23" s="77" t="s">
        <v>77</v>
      </c>
      <c r="AE23" s="77" t="s">
        <v>77</v>
      </c>
    </row>
    <row r="24" spans="1:31" x14ac:dyDescent="0.2">
      <c r="A24" s="76" t="s">
        <v>149</v>
      </c>
      <c r="B24" s="76" t="s">
        <v>64</v>
      </c>
      <c r="C24" s="76" t="s">
        <v>82</v>
      </c>
      <c r="D24" s="76" t="s">
        <v>150</v>
      </c>
      <c r="E24" s="76" t="s">
        <v>138</v>
      </c>
      <c r="F24" s="77">
        <v>45962</v>
      </c>
      <c r="G24" s="77">
        <v>45992</v>
      </c>
      <c r="H24" s="76" t="s">
        <v>68</v>
      </c>
      <c r="I24" s="76" t="s">
        <v>69</v>
      </c>
      <c r="J24" s="76" t="s">
        <v>148</v>
      </c>
      <c r="K24" s="76" t="s">
        <v>71</v>
      </c>
      <c r="L24" s="76" t="s">
        <v>142</v>
      </c>
      <c r="M24" s="76" t="s">
        <v>143</v>
      </c>
      <c r="N24" s="76" t="s">
        <v>88</v>
      </c>
      <c r="O24" s="76" t="s">
        <v>144</v>
      </c>
      <c r="P24" s="76">
        <v>1</v>
      </c>
      <c r="Q24" s="76">
        <v>0</v>
      </c>
      <c r="R24" s="76">
        <v>1</v>
      </c>
      <c r="S24" s="76" t="s">
        <v>475</v>
      </c>
      <c r="T24" s="76" t="s">
        <v>76</v>
      </c>
      <c r="U24" s="76" t="s">
        <v>76</v>
      </c>
      <c r="V24" s="76">
        <v>19976394</v>
      </c>
      <c r="W24" s="76" t="s">
        <v>149</v>
      </c>
      <c r="X24" s="76" t="s">
        <v>90</v>
      </c>
      <c r="Y24" s="76">
        <v>12</v>
      </c>
      <c r="Z24" s="76" t="s">
        <v>145</v>
      </c>
      <c r="AA24" s="76" t="s">
        <v>80</v>
      </c>
      <c r="AB24" s="76">
        <v>1</v>
      </c>
      <c r="AC24" s="76" t="s">
        <v>80</v>
      </c>
      <c r="AD24" s="77" t="s">
        <v>77</v>
      </c>
      <c r="AE24" s="77" t="s">
        <v>77</v>
      </c>
    </row>
    <row r="25" spans="1:31" x14ac:dyDescent="0.2">
      <c r="A25" s="76" t="s">
        <v>151</v>
      </c>
      <c r="B25" s="76" t="s">
        <v>64</v>
      </c>
      <c r="C25" s="76" t="s">
        <v>65</v>
      </c>
      <c r="D25" s="76" t="s">
        <v>152</v>
      </c>
      <c r="E25" s="76" t="s">
        <v>153</v>
      </c>
      <c r="F25" s="77">
        <v>45981</v>
      </c>
      <c r="G25" s="77">
        <v>46011</v>
      </c>
      <c r="H25" s="76" t="s">
        <v>95</v>
      </c>
      <c r="I25" s="76" t="s">
        <v>69</v>
      </c>
      <c r="J25" s="76" t="s">
        <v>154</v>
      </c>
      <c r="K25" s="76" t="s">
        <v>71</v>
      </c>
      <c r="L25" s="76" t="s">
        <v>97</v>
      </c>
      <c r="M25" s="76" t="s">
        <v>73</v>
      </c>
      <c r="N25" s="76" t="s">
        <v>74</v>
      </c>
      <c r="O25" s="76" t="s">
        <v>98</v>
      </c>
      <c r="P25" s="76">
        <v>1</v>
      </c>
      <c r="Q25" s="76">
        <v>0</v>
      </c>
      <c r="R25" s="76">
        <v>1</v>
      </c>
      <c r="S25" s="76" t="s">
        <v>472</v>
      </c>
      <c r="T25" s="76" t="s">
        <v>76</v>
      </c>
      <c r="U25" s="76" t="s">
        <v>76</v>
      </c>
      <c r="V25" s="76">
        <v>21951262</v>
      </c>
      <c r="W25" s="76" t="s">
        <v>151</v>
      </c>
      <c r="X25" s="76" t="s">
        <v>78</v>
      </c>
      <c r="Y25" s="76">
        <v>4</v>
      </c>
      <c r="Z25" s="76" t="s">
        <v>99</v>
      </c>
      <c r="AA25" s="76" t="s">
        <v>80</v>
      </c>
      <c r="AB25" s="76">
        <v>1</v>
      </c>
      <c r="AC25" s="76" t="s">
        <v>80</v>
      </c>
      <c r="AD25" s="77" t="s">
        <v>77</v>
      </c>
      <c r="AE25" s="77" t="s">
        <v>77</v>
      </c>
    </row>
    <row r="26" spans="1:31" x14ac:dyDescent="0.2">
      <c r="A26" s="76" t="s">
        <v>151</v>
      </c>
      <c r="B26" s="76" t="s">
        <v>64</v>
      </c>
      <c r="C26" s="76" t="s">
        <v>65</v>
      </c>
      <c r="D26" s="76" t="s">
        <v>152</v>
      </c>
      <c r="E26" s="76" t="s">
        <v>153</v>
      </c>
      <c r="F26" s="77">
        <v>45981</v>
      </c>
      <c r="G26" s="77">
        <v>46011</v>
      </c>
      <c r="H26" s="76" t="s">
        <v>95</v>
      </c>
      <c r="I26" s="76" t="s">
        <v>69</v>
      </c>
      <c r="J26" s="76" t="s">
        <v>154</v>
      </c>
      <c r="K26" s="76" t="s">
        <v>71</v>
      </c>
      <c r="L26" s="76" t="s">
        <v>121</v>
      </c>
      <c r="M26" s="76" t="s">
        <v>73</v>
      </c>
      <c r="N26" s="76" t="s">
        <v>74</v>
      </c>
      <c r="O26" s="76" t="s">
        <v>122</v>
      </c>
      <c r="P26" s="76">
        <v>1</v>
      </c>
      <c r="Q26" s="76">
        <v>0</v>
      </c>
      <c r="R26" s="76">
        <v>1</v>
      </c>
      <c r="S26" s="76" t="s">
        <v>472</v>
      </c>
      <c r="T26" s="76" t="s">
        <v>76</v>
      </c>
      <c r="U26" s="76" t="s">
        <v>76</v>
      </c>
      <c r="V26" s="76">
        <v>21951262</v>
      </c>
      <c r="W26" s="76" t="s">
        <v>151</v>
      </c>
      <c r="X26" s="76" t="s">
        <v>78</v>
      </c>
      <c r="Y26" s="76">
        <v>5</v>
      </c>
      <c r="Z26" s="76" t="s">
        <v>123</v>
      </c>
      <c r="AA26" s="76" t="s">
        <v>80</v>
      </c>
      <c r="AB26" s="76">
        <v>1</v>
      </c>
      <c r="AC26" s="76" t="s">
        <v>80</v>
      </c>
      <c r="AD26" s="77" t="s">
        <v>77</v>
      </c>
      <c r="AE26" s="77" t="s">
        <v>77</v>
      </c>
    </row>
    <row r="27" spans="1:31" x14ac:dyDescent="0.2">
      <c r="A27" s="76" t="s">
        <v>151</v>
      </c>
      <c r="B27" s="76" t="s">
        <v>64</v>
      </c>
      <c r="C27" s="76" t="s">
        <v>65</v>
      </c>
      <c r="D27" s="76" t="s">
        <v>152</v>
      </c>
      <c r="E27" s="76" t="s">
        <v>153</v>
      </c>
      <c r="F27" s="77">
        <v>45981</v>
      </c>
      <c r="G27" s="77">
        <v>46011</v>
      </c>
      <c r="H27" s="76" t="s">
        <v>95</v>
      </c>
      <c r="I27" s="76" t="s">
        <v>69</v>
      </c>
      <c r="J27" s="76" t="s">
        <v>154</v>
      </c>
      <c r="K27" s="76" t="s">
        <v>71</v>
      </c>
      <c r="L27" s="76" t="s">
        <v>72</v>
      </c>
      <c r="M27" s="76" t="s">
        <v>73</v>
      </c>
      <c r="N27" s="76" t="s">
        <v>74</v>
      </c>
      <c r="O27" s="76" t="s">
        <v>75</v>
      </c>
      <c r="P27" s="76">
        <v>1</v>
      </c>
      <c r="Q27" s="76">
        <v>0</v>
      </c>
      <c r="R27" s="76">
        <v>1</v>
      </c>
      <c r="S27" s="76" t="s">
        <v>472</v>
      </c>
      <c r="T27" s="76" t="s">
        <v>76</v>
      </c>
      <c r="U27" s="76" t="s">
        <v>76</v>
      </c>
      <c r="V27" s="76">
        <v>21951262</v>
      </c>
      <c r="W27" s="76" t="s">
        <v>151</v>
      </c>
      <c r="X27" s="76" t="s">
        <v>78</v>
      </c>
      <c r="Y27" s="76">
        <v>6</v>
      </c>
      <c r="Z27" s="76" t="s">
        <v>79</v>
      </c>
      <c r="AA27" s="76" t="s">
        <v>80</v>
      </c>
      <c r="AB27" s="76">
        <v>1</v>
      </c>
      <c r="AC27" s="76" t="s">
        <v>80</v>
      </c>
      <c r="AD27" s="77" t="s">
        <v>77</v>
      </c>
      <c r="AE27" s="77" t="s">
        <v>77</v>
      </c>
    </row>
    <row r="28" spans="1:31" x14ac:dyDescent="0.2">
      <c r="A28" s="76" t="s">
        <v>151</v>
      </c>
      <c r="B28" s="76" t="s">
        <v>64</v>
      </c>
      <c r="C28" s="76" t="s">
        <v>65</v>
      </c>
      <c r="D28" s="76" t="s">
        <v>152</v>
      </c>
      <c r="E28" s="76" t="s">
        <v>153</v>
      </c>
      <c r="F28" s="77">
        <v>45981</v>
      </c>
      <c r="G28" s="77">
        <v>46011</v>
      </c>
      <c r="H28" s="76" t="s">
        <v>95</v>
      </c>
      <c r="I28" s="76" t="s">
        <v>69</v>
      </c>
      <c r="J28" s="76" t="s">
        <v>154</v>
      </c>
      <c r="K28" s="76" t="s">
        <v>71</v>
      </c>
      <c r="L28" s="76" t="s">
        <v>100</v>
      </c>
      <c r="M28" s="76" t="s">
        <v>73</v>
      </c>
      <c r="N28" s="76" t="s">
        <v>74</v>
      </c>
      <c r="O28" s="76" t="s">
        <v>101</v>
      </c>
      <c r="P28" s="76">
        <v>1</v>
      </c>
      <c r="Q28" s="76">
        <v>0</v>
      </c>
      <c r="R28" s="76">
        <v>1</v>
      </c>
      <c r="S28" s="76" t="s">
        <v>472</v>
      </c>
      <c r="T28" s="76" t="s">
        <v>76</v>
      </c>
      <c r="U28" s="76" t="s">
        <v>76</v>
      </c>
      <c r="V28" s="76">
        <v>21951262</v>
      </c>
      <c r="W28" s="76" t="s">
        <v>151</v>
      </c>
      <c r="X28" s="76" t="s">
        <v>78</v>
      </c>
      <c r="Y28" s="76">
        <v>7</v>
      </c>
      <c r="Z28" s="76" t="s">
        <v>102</v>
      </c>
      <c r="AA28" s="76" t="s">
        <v>80</v>
      </c>
      <c r="AB28" s="76">
        <v>1</v>
      </c>
      <c r="AC28" s="76" t="s">
        <v>80</v>
      </c>
      <c r="AD28" s="77" t="s">
        <v>77</v>
      </c>
      <c r="AE28" s="77" t="s">
        <v>77</v>
      </c>
    </row>
    <row r="29" spans="1:31" x14ac:dyDescent="0.2">
      <c r="A29" s="76" t="s">
        <v>151</v>
      </c>
      <c r="B29" s="76" t="s">
        <v>64</v>
      </c>
      <c r="C29" s="76" t="s">
        <v>65</v>
      </c>
      <c r="D29" s="76" t="s">
        <v>152</v>
      </c>
      <c r="E29" s="76" t="s">
        <v>153</v>
      </c>
      <c r="F29" s="77">
        <v>45981</v>
      </c>
      <c r="G29" s="77">
        <v>46011</v>
      </c>
      <c r="H29" s="76" t="s">
        <v>95</v>
      </c>
      <c r="I29" s="76" t="s">
        <v>69</v>
      </c>
      <c r="J29" s="76" t="s">
        <v>154</v>
      </c>
      <c r="K29" s="76" t="s">
        <v>71</v>
      </c>
      <c r="L29" s="76" t="s">
        <v>155</v>
      </c>
      <c r="M29" s="76" t="s">
        <v>156</v>
      </c>
      <c r="N29" s="76" t="s">
        <v>74</v>
      </c>
      <c r="O29" s="76" t="s">
        <v>157</v>
      </c>
      <c r="P29" s="76">
        <v>1</v>
      </c>
      <c r="Q29" s="76">
        <v>0</v>
      </c>
      <c r="R29" s="76">
        <v>1</v>
      </c>
      <c r="S29" s="76" t="s">
        <v>476</v>
      </c>
      <c r="T29" s="76" t="s">
        <v>76</v>
      </c>
      <c r="U29" s="76" t="s">
        <v>76</v>
      </c>
      <c r="V29" s="76">
        <v>21951262</v>
      </c>
      <c r="W29" s="76" t="s">
        <v>151</v>
      </c>
      <c r="X29" s="76" t="s">
        <v>78</v>
      </c>
      <c r="Y29" s="76">
        <v>9</v>
      </c>
      <c r="Z29" s="76" t="s">
        <v>158</v>
      </c>
      <c r="AA29" s="76" t="s">
        <v>80</v>
      </c>
      <c r="AB29" s="76">
        <v>1</v>
      </c>
      <c r="AC29" s="76" t="s">
        <v>80</v>
      </c>
      <c r="AD29" s="77" t="s">
        <v>77</v>
      </c>
      <c r="AE29" s="77" t="s">
        <v>77</v>
      </c>
    </row>
    <row r="30" spans="1:31" x14ac:dyDescent="0.2">
      <c r="A30" s="76" t="s">
        <v>151</v>
      </c>
      <c r="B30" s="76" t="s">
        <v>64</v>
      </c>
      <c r="C30" s="76" t="s">
        <v>65</v>
      </c>
      <c r="D30" s="76" t="s">
        <v>152</v>
      </c>
      <c r="E30" s="76" t="s">
        <v>153</v>
      </c>
      <c r="F30" s="77">
        <v>45981</v>
      </c>
      <c r="G30" s="77">
        <v>46011</v>
      </c>
      <c r="H30" s="76" t="s">
        <v>95</v>
      </c>
      <c r="I30" s="76" t="s">
        <v>69</v>
      </c>
      <c r="J30" s="76" t="s">
        <v>154</v>
      </c>
      <c r="K30" s="76" t="s">
        <v>71</v>
      </c>
      <c r="L30" s="76" t="s">
        <v>103</v>
      </c>
      <c r="M30" s="76" t="s">
        <v>104</v>
      </c>
      <c r="N30" s="76" t="s">
        <v>105</v>
      </c>
      <c r="O30" s="76" t="s">
        <v>106</v>
      </c>
      <c r="P30" s="76">
        <v>1</v>
      </c>
      <c r="Q30" s="76">
        <v>0</v>
      </c>
      <c r="R30" s="76">
        <v>1</v>
      </c>
      <c r="S30" s="76" t="s">
        <v>474</v>
      </c>
      <c r="T30" s="76" t="s">
        <v>76</v>
      </c>
      <c r="U30" s="76" t="s">
        <v>76</v>
      </c>
      <c r="V30" s="76">
        <v>21951262</v>
      </c>
      <c r="W30" s="76" t="s">
        <v>151</v>
      </c>
      <c r="X30" s="76" t="s">
        <v>78</v>
      </c>
      <c r="Y30" s="76">
        <v>10</v>
      </c>
      <c r="Z30" s="76" t="s">
        <v>107</v>
      </c>
      <c r="AA30" s="76" t="s">
        <v>80</v>
      </c>
      <c r="AB30" s="76">
        <v>1</v>
      </c>
      <c r="AC30" s="76" t="s">
        <v>80</v>
      </c>
      <c r="AD30" s="77" t="s">
        <v>77</v>
      </c>
      <c r="AE30" s="77" t="s">
        <v>77</v>
      </c>
    </row>
    <row r="31" spans="1:31" x14ac:dyDescent="0.2">
      <c r="A31" s="76" t="s">
        <v>159</v>
      </c>
      <c r="B31" s="76" t="s">
        <v>64</v>
      </c>
      <c r="C31" s="76" t="s">
        <v>109</v>
      </c>
      <c r="D31" s="76" t="s">
        <v>160</v>
      </c>
      <c r="E31" s="76" t="s">
        <v>161</v>
      </c>
      <c r="F31" s="77">
        <v>45981</v>
      </c>
      <c r="G31" s="77">
        <v>46011</v>
      </c>
      <c r="H31" s="76" t="s">
        <v>95</v>
      </c>
      <c r="I31" s="76" t="s">
        <v>69</v>
      </c>
      <c r="J31" s="76" t="s">
        <v>162</v>
      </c>
      <c r="K31" s="76" t="s">
        <v>71</v>
      </c>
      <c r="L31" s="76" t="s">
        <v>113</v>
      </c>
      <c r="M31" s="76" t="s">
        <v>73</v>
      </c>
      <c r="N31" s="76" t="s">
        <v>74</v>
      </c>
      <c r="O31" s="76" t="s">
        <v>114</v>
      </c>
      <c r="P31" s="76">
        <v>1</v>
      </c>
      <c r="Q31" s="76">
        <v>0</v>
      </c>
      <c r="R31" s="76">
        <v>1</v>
      </c>
      <c r="S31" s="76" t="s">
        <v>472</v>
      </c>
      <c r="T31" s="76" t="s">
        <v>76</v>
      </c>
      <c r="U31" s="76" t="s">
        <v>76</v>
      </c>
      <c r="V31" s="76">
        <v>21951263</v>
      </c>
      <c r="W31" s="76" t="s">
        <v>159</v>
      </c>
      <c r="X31" s="76" t="s">
        <v>115</v>
      </c>
      <c r="Y31" s="76">
        <v>9</v>
      </c>
      <c r="Z31" s="76" t="s">
        <v>116</v>
      </c>
      <c r="AA31" s="76" t="s">
        <v>80</v>
      </c>
      <c r="AB31" s="76">
        <v>1</v>
      </c>
      <c r="AC31" s="76" t="s">
        <v>80</v>
      </c>
      <c r="AD31" s="77" t="s">
        <v>77</v>
      </c>
      <c r="AE31" s="77" t="s">
        <v>77</v>
      </c>
    </row>
    <row r="32" spans="1:31" x14ac:dyDescent="0.2">
      <c r="A32" s="76" t="s">
        <v>159</v>
      </c>
      <c r="B32" s="76" t="s">
        <v>64</v>
      </c>
      <c r="C32" s="76" t="s">
        <v>109</v>
      </c>
      <c r="D32" s="76" t="s">
        <v>160</v>
      </c>
      <c r="E32" s="76" t="s">
        <v>161</v>
      </c>
      <c r="F32" s="77">
        <v>45981</v>
      </c>
      <c r="G32" s="77">
        <v>46011</v>
      </c>
      <c r="H32" s="76" t="s">
        <v>95</v>
      </c>
      <c r="I32" s="76" t="s">
        <v>69</v>
      </c>
      <c r="J32" s="76" t="s">
        <v>162</v>
      </c>
      <c r="K32" s="76" t="s">
        <v>71</v>
      </c>
      <c r="L32" s="76" t="s">
        <v>128</v>
      </c>
      <c r="M32" s="76" t="s">
        <v>73</v>
      </c>
      <c r="N32" s="76" t="s">
        <v>74</v>
      </c>
      <c r="O32" s="76" t="s">
        <v>129</v>
      </c>
      <c r="P32" s="76">
        <v>1</v>
      </c>
      <c r="Q32" s="76">
        <v>0</v>
      </c>
      <c r="R32" s="76">
        <v>1</v>
      </c>
      <c r="S32" s="76" t="s">
        <v>472</v>
      </c>
      <c r="T32" s="76" t="s">
        <v>76</v>
      </c>
      <c r="U32" s="76" t="s">
        <v>76</v>
      </c>
      <c r="V32" s="76">
        <v>21951263</v>
      </c>
      <c r="W32" s="76" t="s">
        <v>159</v>
      </c>
      <c r="X32" s="76" t="s">
        <v>115</v>
      </c>
      <c r="Y32" s="76">
        <v>10</v>
      </c>
      <c r="Z32" s="76" t="s">
        <v>130</v>
      </c>
      <c r="AA32" s="76" t="s">
        <v>80</v>
      </c>
      <c r="AB32" s="76">
        <v>1</v>
      </c>
      <c r="AC32" s="76" t="s">
        <v>80</v>
      </c>
      <c r="AD32" s="77" t="s">
        <v>77</v>
      </c>
      <c r="AE32" s="77" t="s">
        <v>77</v>
      </c>
    </row>
    <row r="33" spans="1:31" x14ac:dyDescent="0.2">
      <c r="A33" s="76" t="s">
        <v>159</v>
      </c>
      <c r="B33" s="76" t="s">
        <v>64</v>
      </c>
      <c r="C33" s="76" t="s">
        <v>109</v>
      </c>
      <c r="D33" s="76" t="s">
        <v>160</v>
      </c>
      <c r="E33" s="76" t="s">
        <v>161</v>
      </c>
      <c r="F33" s="77">
        <v>45981</v>
      </c>
      <c r="G33" s="77">
        <v>46011</v>
      </c>
      <c r="H33" s="76" t="s">
        <v>95</v>
      </c>
      <c r="I33" s="76" t="s">
        <v>69</v>
      </c>
      <c r="J33" s="76" t="s">
        <v>162</v>
      </c>
      <c r="K33" s="76" t="s">
        <v>71</v>
      </c>
      <c r="L33" s="76" t="s">
        <v>163</v>
      </c>
      <c r="M33" s="76" t="s">
        <v>73</v>
      </c>
      <c r="N33" s="76" t="s">
        <v>74</v>
      </c>
      <c r="O33" s="76" t="s">
        <v>164</v>
      </c>
      <c r="P33" s="76">
        <v>1</v>
      </c>
      <c r="Q33" s="76">
        <v>0</v>
      </c>
      <c r="R33" s="76">
        <v>1</v>
      </c>
      <c r="S33" s="76" t="s">
        <v>472</v>
      </c>
      <c r="T33" s="76" t="s">
        <v>76</v>
      </c>
      <c r="U33" s="76" t="s">
        <v>76</v>
      </c>
      <c r="V33" s="76">
        <v>21951263</v>
      </c>
      <c r="W33" s="76" t="s">
        <v>159</v>
      </c>
      <c r="X33" s="76" t="s">
        <v>115</v>
      </c>
      <c r="Y33" s="76">
        <v>11</v>
      </c>
      <c r="Z33" s="76" t="s">
        <v>165</v>
      </c>
      <c r="AA33" s="76" t="s">
        <v>80</v>
      </c>
      <c r="AB33" s="76">
        <v>1</v>
      </c>
      <c r="AC33" s="76" t="s">
        <v>80</v>
      </c>
      <c r="AD33" s="77" t="s">
        <v>77</v>
      </c>
      <c r="AE33" s="77" t="s">
        <v>77</v>
      </c>
    </row>
    <row r="34" spans="1:31" x14ac:dyDescent="0.2">
      <c r="A34" s="76" t="s">
        <v>159</v>
      </c>
      <c r="B34" s="76" t="s">
        <v>64</v>
      </c>
      <c r="C34" s="76" t="s">
        <v>109</v>
      </c>
      <c r="D34" s="76" t="s">
        <v>160</v>
      </c>
      <c r="E34" s="76" t="s">
        <v>161</v>
      </c>
      <c r="F34" s="77">
        <v>45981</v>
      </c>
      <c r="G34" s="77">
        <v>46011</v>
      </c>
      <c r="H34" s="76" t="s">
        <v>95</v>
      </c>
      <c r="I34" s="76" t="s">
        <v>69</v>
      </c>
      <c r="J34" s="76" t="s">
        <v>162</v>
      </c>
      <c r="K34" s="76" t="s">
        <v>71</v>
      </c>
      <c r="L34" s="76" t="s">
        <v>131</v>
      </c>
      <c r="M34" s="76" t="s">
        <v>132</v>
      </c>
      <c r="N34" s="76" t="s">
        <v>133</v>
      </c>
      <c r="O34" s="76" t="s">
        <v>134</v>
      </c>
      <c r="P34" s="76">
        <v>1</v>
      </c>
      <c r="Q34" s="76">
        <v>0</v>
      </c>
      <c r="R34" s="76">
        <v>1</v>
      </c>
      <c r="S34" s="76" t="s">
        <v>473</v>
      </c>
      <c r="T34" s="76" t="s">
        <v>76</v>
      </c>
      <c r="U34" s="76" t="s">
        <v>76</v>
      </c>
      <c r="V34" s="76">
        <v>21951263</v>
      </c>
      <c r="W34" s="76" t="s">
        <v>159</v>
      </c>
      <c r="X34" s="76" t="s">
        <v>115</v>
      </c>
      <c r="Y34" s="76">
        <v>17</v>
      </c>
      <c r="Z34" s="76" t="s">
        <v>135</v>
      </c>
      <c r="AA34" s="76" t="s">
        <v>80</v>
      </c>
      <c r="AB34" s="76">
        <v>1</v>
      </c>
      <c r="AC34" s="76" t="s">
        <v>80</v>
      </c>
      <c r="AD34" s="77" t="s">
        <v>77</v>
      </c>
      <c r="AE34" s="77" t="s">
        <v>77</v>
      </c>
    </row>
    <row r="35" spans="1:31" x14ac:dyDescent="0.2">
      <c r="A35" s="76" t="s">
        <v>159</v>
      </c>
      <c r="B35" s="76" t="s">
        <v>64</v>
      </c>
      <c r="C35" s="76" t="s">
        <v>109</v>
      </c>
      <c r="D35" s="76" t="s">
        <v>160</v>
      </c>
      <c r="E35" s="76" t="s">
        <v>161</v>
      </c>
      <c r="F35" s="77">
        <v>45981</v>
      </c>
      <c r="G35" s="77">
        <v>46011</v>
      </c>
      <c r="H35" s="76" t="s">
        <v>95</v>
      </c>
      <c r="I35" s="76" t="s">
        <v>69</v>
      </c>
      <c r="J35" s="76" t="s">
        <v>162</v>
      </c>
      <c r="K35" s="76" t="s">
        <v>71</v>
      </c>
      <c r="L35" s="76" t="s">
        <v>103</v>
      </c>
      <c r="M35" s="76" t="s">
        <v>104</v>
      </c>
      <c r="N35" s="76" t="s">
        <v>105</v>
      </c>
      <c r="O35" s="76" t="s">
        <v>106</v>
      </c>
      <c r="P35" s="76">
        <v>1</v>
      </c>
      <c r="Q35" s="76">
        <v>0</v>
      </c>
      <c r="R35" s="76">
        <v>1</v>
      </c>
      <c r="S35" s="76" t="s">
        <v>474</v>
      </c>
      <c r="T35" s="76" t="s">
        <v>76</v>
      </c>
      <c r="U35" s="76" t="s">
        <v>76</v>
      </c>
      <c r="V35" s="76">
        <v>21951263</v>
      </c>
      <c r="W35" s="76" t="s">
        <v>159</v>
      </c>
      <c r="X35" s="76" t="s">
        <v>115</v>
      </c>
      <c r="Y35" s="76">
        <v>18</v>
      </c>
      <c r="Z35" s="76" t="s">
        <v>107</v>
      </c>
      <c r="AA35" s="76" t="s">
        <v>80</v>
      </c>
      <c r="AB35" s="76">
        <v>1</v>
      </c>
      <c r="AC35" s="76" t="s">
        <v>80</v>
      </c>
      <c r="AD35" s="77" t="s">
        <v>77</v>
      </c>
      <c r="AE35" s="77" t="s">
        <v>77</v>
      </c>
    </row>
    <row r="36" spans="1:31" x14ac:dyDescent="0.2">
      <c r="A36" s="76" t="s">
        <v>166</v>
      </c>
      <c r="B36" s="76" t="s">
        <v>64</v>
      </c>
      <c r="C36" s="76" t="s">
        <v>82</v>
      </c>
      <c r="D36" s="76" t="s">
        <v>167</v>
      </c>
      <c r="E36" s="76" t="s">
        <v>168</v>
      </c>
      <c r="F36" s="77">
        <v>45981</v>
      </c>
      <c r="G36" s="77">
        <v>46011</v>
      </c>
      <c r="H36" s="76" t="s">
        <v>95</v>
      </c>
      <c r="I36" s="76" t="s">
        <v>169</v>
      </c>
      <c r="J36" s="76" t="s">
        <v>170</v>
      </c>
      <c r="K36" s="76" t="s">
        <v>71</v>
      </c>
      <c r="L36" s="76" t="s">
        <v>86</v>
      </c>
      <c r="M36" s="76" t="s">
        <v>87</v>
      </c>
      <c r="N36" s="76" t="s">
        <v>88</v>
      </c>
      <c r="O36" s="76" t="s">
        <v>89</v>
      </c>
      <c r="P36" s="76">
        <v>1</v>
      </c>
      <c r="Q36" s="76">
        <v>1</v>
      </c>
      <c r="R36" s="76">
        <v>0</v>
      </c>
      <c r="S36" s="76" t="s">
        <v>76</v>
      </c>
      <c r="T36" s="76" t="s">
        <v>76</v>
      </c>
      <c r="U36" s="76" t="s">
        <v>76</v>
      </c>
      <c r="V36" s="76">
        <v>21951264</v>
      </c>
      <c r="W36" s="76" t="s">
        <v>166</v>
      </c>
      <c r="X36" s="76" t="s">
        <v>171</v>
      </c>
      <c r="Y36" s="76">
        <v>10</v>
      </c>
      <c r="Z36" s="76" t="s">
        <v>91</v>
      </c>
      <c r="AA36" s="76" t="s">
        <v>80</v>
      </c>
      <c r="AB36" s="76">
        <v>1</v>
      </c>
      <c r="AC36" s="76" t="s">
        <v>80</v>
      </c>
      <c r="AD36" s="77" t="s">
        <v>77</v>
      </c>
      <c r="AE36" s="77" t="s">
        <v>77</v>
      </c>
    </row>
    <row r="37" spans="1:31" x14ac:dyDescent="0.2">
      <c r="A37" s="76" t="s">
        <v>166</v>
      </c>
      <c r="B37" s="76" t="s">
        <v>64</v>
      </c>
      <c r="C37" s="76" t="s">
        <v>82</v>
      </c>
      <c r="D37" s="76" t="s">
        <v>167</v>
      </c>
      <c r="E37" s="76" t="s">
        <v>168</v>
      </c>
      <c r="F37" s="77">
        <v>45981</v>
      </c>
      <c r="G37" s="77">
        <v>46011</v>
      </c>
      <c r="H37" s="76" t="s">
        <v>95</v>
      </c>
      <c r="I37" s="76" t="s">
        <v>169</v>
      </c>
      <c r="J37" s="76" t="s">
        <v>170</v>
      </c>
      <c r="K37" s="76" t="s">
        <v>71</v>
      </c>
      <c r="L37" s="76" t="s">
        <v>163</v>
      </c>
      <c r="M37" s="76" t="s">
        <v>73</v>
      </c>
      <c r="N37" s="76" t="s">
        <v>74</v>
      </c>
      <c r="O37" s="76" t="s">
        <v>164</v>
      </c>
      <c r="P37" s="76">
        <v>1</v>
      </c>
      <c r="Q37" s="76">
        <v>0</v>
      </c>
      <c r="R37" s="76">
        <v>1</v>
      </c>
      <c r="S37" s="76" t="s">
        <v>472</v>
      </c>
      <c r="T37" s="76" t="s">
        <v>76</v>
      </c>
      <c r="U37" s="76" t="s">
        <v>76</v>
      </c>
      <c r="V37" s="76">
        <v>21951264</v>
      </c>
      <c r="W37" s="76" t="s">
        <v>166</v>
      </c>
      <c r="X37" s="76" t="s">
        <v>171</v>
      </c>
      <c r="Y37" s="76">
        <v>12</v>
      </c>
      <c r="Z37" s="76" t="s">
        <v>165</v>
      </c>
      <c r="AA37" s="76" t="s">
        <v>80</v>
      </c>
      <c r="AB37" s="76">
        <v>1</v>
      </c>
      <c r="AC37" s="76" t="s">
        <v>80</v>
      </c>
      <c r="AD37" s="77" t="s">
        <v>77</v>
      </c>
      <c r="AE37" s="77" t="s">
        <v>77</v>
      </c>
    </row>
    <row r="38" spans="1:31" x14ac:dyDescent="0.2">
      <c r="A38" s="76" t="s">
        <v>166</v>
      </c>
      <c r="B38" s="76" t="s">
        <v>64</v>
      </c>
      <c r="C38" s="76" t="s">
        <v>82</v>
      </c>
      <c r="D38" s="76" t="s">
        <v>167</v>
      </c>
      <c r="E38" s="76" t="s">
        <v>168</v>
      </c>
      <c r="F38" s="77">
        <v>45981</v>
      </c>
      <c r="G38" s="77">
        <v>46011</v>
      </c>
      <c r="H38" s="76" t="s">
        <v>95</v>
      </c>
      <c r="I38" s="76" t="s">
        <v>169</v>
      </c>
      <c r="J38" s="76" t="s">
        <v>170</v>
      </c>
      <c r="K38" s="76" t="s">
        <v>71</v>
      </c>
      <c r="L38" s="76" t="s">
        <v>100</v>
      </c>
      <c r="M38" s="76" t="s">
        <v>73</v>
      </c>
      <c r="N38" s="76" t="s">
        <v>74</v>
      </c>
      <c r="O38" s="76" t="s">
        <v>101</v>
      </c>
      <c r="P38" s="76">
        <v>1</v>
      </c>
      <c r="Q38" s="76">
        <v>0</v>
      </c>
      <c r="R38" s="76">
        <v>1</v>
      </c>
      <c r="S38" s="76" t="s">
        <v>472</v>
      </c>
      <c r="T38" s="76" t="s">
        <v>76</v>
      </c>
      <c r="U38" s="76" t="s">
        <v>76</v>
      </c>
      <c r="V38" s="76">
        <v>21951264</v>
      </c>
      <c r="W38" s="76" t="s">
        <v>166</v>
      </c>
      <c r="X38" s="76" t="s">
        <v>171</v>
      </c>
      <c r="Y38" s="76">
        <v>13</v>
      </c>
      <c r="Z38" s="76" t="s">
        <v>102</v>
      </c>
      <c r="AA38" s="76" t="s">
        <v>80</v>
      </c>
      <c r="AB38" s="76">
        <v>1</v>
      </c>
      <c r="AC38" s="76" t="s">
        <v>80</v>
      </c>
      <c r="AD38" s="77" t="s">
        <v>77</v>
      </c>
      <c r="AE38" s="77" t="s">
        <v>77</v>
      </c>
    </row>
    <row r="39" spans="1:31" x14ac:dyDescent="0.2">
      <c r="A39" s="76" t="s">
        <v>166</v>
      </c>
      <c r="B39" s="76" t="s">
        <v>64</v>
      </c>
      <c r="C39" s="76" t="s">
        <v>82</v>
      </c>
      <c r="D39" s="76" t="s">
        <v>167</v>
      </c>
      <c r="E39" s="76" t="s">
        <v>168</v>
      </c>
      <c r="F39" s="77">
        <v>45981</v>
      </c>
      <c r="G39" s="77">
        <v>46011</v>
      </c>
      <c r="H39" s="76" t="s">
        <v>95</v>
      </c>
      <c r="I39" s="76" t="s">
        <v>169</v>
      </c>
      <c r="J39" s="76" t="s">
        <v>170</v>
      </c>
      <c r="K39" s="76" t="s">
        <v>71</v>
      </c>
      <c r="L39" s="76" t="s">
        <v>172</v>
      </c>
      <c r="M39" s="76" t="s">
        <v>132</v>
      </c>
      <c r="N39" s="76" t="s">
        <v>133</v>
      </c>
      <c r="O39" s="76" t="s">
        <v>173</v>
      </c>
      <c r="P39" s="76">
        <v>1</v>
      </c>
      <c r="Q39" s="76">
        <v>0</v>
      </c>
      <c r="R39" s="76">
        <v>1</v>
      </c>
      <c r="S39" s="76" t="s">
        <v>473</v>
      </c>
      <c r="T39" s="76" t="s">
        <v>76</v>
      </c>
      <c r="U39" s="76" t="s">
        <v>76</v>
      </c>
      <c r="V39" s="76">
        <v>21951264</v>
      </c>
      <c r="W39" s="76" t="s">
        <v>166</v>
      </c>
      <c r="X39" s="76" t="s">
        <v>171</v>
      </c>
      <c r="Y39" s="76">
        <v>18</v>
      </c>
      <c r="Z39" s="76" t="s">
        <v>174</v>
      </c>
      <c r="AA39" s="76" t="s">
        <v>80</v>
      </c>
      <c r="AB39" s="76">
        <v>1</v>
      </c>
      <c r="AC39" s="76" t="s">
        <v>80</v>
      </c>
      <c r="AD39" s="77" t="s">
        <v>77</v>
      </c>
      <c r="AE39" s="77" t="s">
        <v>77</v>
      </c>
    </row>
    <row r="40" spans="1:31" x14ac:dyDescent="0.2">
      <c r="A40" s="76" t="s">
        <v>166</v>
      </c>
      <c r="B40" s="76" t="s">
        <v>64</v>
      </c>
      <c r="C40" s="76" t="s">
        <v>82</v>
      </c>
      <c r="D40" s="76" t="s">
        <v>167</v>
      </c>
      <c r="E40" s="76" t="s">
        <v>168</v>
      </c>
      <c r="F40" s="77">
        <v>45981</v>
      </c>
      <c r="G40" s="77">
        <v>46011</v>
      </c>
      <c r="H40" s="76" t="s">
        <v>95</v>
      </c>
      <c r="I40" s="76" t="s">
        <v>169</v>
      </c>
      <c r="J40" s="76" t="s">
        <v>170</v>
      </c>
      <c r="K40" s="76" t="s">
        <v>71</v>
      </c>
      <c r="L40" s="76" t="s">
        <v>103</v>
      </c>
      <c r="M40" s="76" t="s">
        <v>104</v>
      </c>
      <c r="N40" s="76" t="s">
        <v>105</v>
      </c>
      <c r="O40" s="76" t="s">
        <v>106</v>
      </c>
      <c r="P40" s="76">
        <v>1</v>
      </c>
      <c r="Q40" s="76">
        <v>0</v>
      </c>
      <c r="R40" s="76">
        <v>1</v>
      </c>
      <c r="S40" s="76" t="s">
        <v>474</v>
      </c>
      <c r="T40" s="76" t="s">
        <v>76</v>
      </c>
      <c r="U40" s="76" t="s">
        <v>76</v>
      </c>
      <c r="V40" s="76">
        <v>21951264</v>
      </c>
      <c r="W40" s="76" t="s">
        <v>166</v>
      </c>
      <c r="X40" s="76" t="s">
        <v>171</v>
      </c>
      <c r="Y40" s="76">
        <v>19</v>
      </c>
      <c r="Z40" s="76" t="s">
        <v>107</v>
      </c>
      <c r="AA40" s="76" t="s">
        <v>80</v>
      </c>
      <c r="AB40" s="76">
        <v>1</v>
      </c>
      <c r="AC40" s="76" t="s">
        <v>80</v>
      </c>
      <c r="AD40" s="77" t="s">
        <v>77</v>
      </c>
      <c r="AE40" s="77" t="s">
        <v>77</v>
      </c>
    </row>
    <row r="41" spans="1:31" x14ac:dyDescent="0.2">
      <c r="A41" s="76" t="s">
        <v>166</v>
      </c>
      <c r="B41" s="76" t="s">
        <v>64</v>
      </c>
      <c r="C41" s="76" t="s">
        <v>82</v>
      </c>
      <c r="D41" s="76" t="s">
        <v>167</v>
      </c>
      <c r="E41" s="76" t="s">
        <v>168</v>
      </c>
      <c r="F41" s="77">
        <v>45981</v>
      </c>
      <c r="G41" s="77">
        <v>46011</v>
      </c>
      <c r="H41" s="76" t="s">
        <v>95</v>
      </c>
      <c r="I41" s="76" t="s">
        <v>169</v>
      </c>
      <c r="J41" s="76" t="s">
        <v>170</v>
      </c>
      <c r="K41" s="76" t="s">
        <v>71</v>
      </c>
      <c r="L41" s="76" t="s">
        <v>175</v>
      </c>
      <c r="M41" s="76" t="s">
        <v>104</v>
      </c>
      <c r="N41" s="76" t="s">
        <v>105</v>
      </c>
      <c r="O41" s="76" t="s">
        <v>176</v>
      </c>
      <c r="P41" s="76">
        <v>1</v>
      </c>
      <c r="Q41" s="76">
        <v>0</v>
      </c>
      <c r="R41" s="76">
        <v>1</v>
      </c>
      <c r="S41" s="76" t="s">
        <v>474</v>
      </c>
      <c r="T41" s="76" t="s">
        <v>76</v>
      </c>
      <c r="U41" s="76" t="s">
        <v>76</v>
      </c>
      <c r="V41" s="76">
        <v>21951264</v>
      </c>
      <c r="W41" s="76" t="s">
        <v>166</v>
      </c>
      <c r="X41" s="76" t="s">
        <v>171</v>
      </c>
      <c r="Y41" s="76">
        <v>20</v>
      </c>
      <c r="Z41" s="76" t="s">
        <v>177</v>
      </c>
      <c r="AA41" s="76" t="s">
        <v>80</v>
      </c>
      <c r="AB41" s="76">
        <v>1</v>
      </c>
      <c r="AC41" s="76" t="s">
        <v>80</v>
      </c>
      <c r="AD41" s="77" t="s">
        <v>77</v>
      </c>
      <c r="AE41" s="77" t="s">
        <v>77</v>
      </c>
    </row>
    <row r="42" spans="1:31" x14ac:dyDescent="0.2">
      <c r="A42" s="76" t="s">
        <v>178</v>
      </c>
      <c r="B42" s="76" t="s">
        <v>64</v>
      </c>
      <c r="C42" s="76" t="s">
        <v>109</v>
      </c>
      <c r="D42" s="76" t="s">
        <v>179</v>
      </c>
      <c r="E42" s="74" t="s">
        <v>180</v>
      </c>
      <c r="F42" s="75">
        <v>46037</v>
      </c>
      <c r="G42" s="77">
        <v>46067</v>
      </c>
      <c r="H42" s="76" t="s">
        <v>68</v>
      </c>
      <c r="I42" s="76" t="s">
        <v>181</v>
      </c>
      <c r="J42" s="76" t="s">
        <v>182</v>
      </c>
      <c r="K42" s="76" t="s">
        <v>71</v>
      </c>
      <c r="L42" s="76" t="s">
        <v>183</v>
      </c>
      <c r="M42" s="76" t="s">
        <v>184</v>
      </c>
      <c r="N42" s="76" t="s">
        <v>185</v>
      </c>
      <c r="O42" s="76" t="s">
        <v>186</v>
      </c>
      <c r="P42" s="76">
        <v>1</v>
      </c>
      <c r="Q42" s="76">
        <v>1</v>
      </c>
      <c r="R42" s="76">
        <v>0</v>
      </c>
      <c r="S42" s="76" t="s">
        <v>76</v>
      </c>
      <c r="T42" s="76" t="s">
        <v>76</v>
      </c>
      <c r="U42" s="76" t="s">
        <v>76</v>
      </c>
      <c r="V42" s="76">
        <v>21212891</v>
      </c>
      <c r="W42" s="76" t="s">
        <v>178</v>
      </c>
      <c r="X42" s="76" t="s">
        <v>115</v>
      </c>
      <c r="Y42" s="76">
        <v>1</v>
      </c>
      <c r="Z42" s="76" t="s">
        <v>187</v>
      </c>
      <c r="AA42" s="76" t="s">
        <v>80</v>
      </c>
      <c r="AB42" s="76">
        <v>1</v>
      </c>
      <c r="AC42" s="76" t="s">
        <v>80</v>
      </c>
      <c r="AD42" s="77" t="s">
        <v>77</v>
      </c>
      <c r="AE42" s="77" t="s">
        <v>77</v>
      </c>
    </row>
    <row r="43" spans="1:31" x14ac:dyDescent="0.2">
      <c r="A43" s="76" t="s">
        <v>178</v>
      </c>
      <c r="B43" s="76" t="s">
        <v>64</v>
      </c>
      <c r="C43" s="76" t="s">
        <v>109</v>
      </c>
      <c r="D43" s="76" t="s">
        <v>179</v>
      </c>
      <c r="E43" s="74" t="s">
        <v>180</v>
      </c>
      <c r="F43" s="75">
        <v>46037</v>
      </c>
      <c r="G43" s="77">
        <v>46067</v>
      </c>
      <c r="H43" s="76" t="s">
        <v>68</v>
      </c>
      <c r="I43" s="76" t="s">
        <v>181</v>
      </c>
      <c r="J43" s="76" t="s">
        <v>182</v>
      </c>
      <c r="K43" s="76" t="s">
        <v>71</v>
      </c>
      <c r="L43" s="76" t="s">
        <v>188</v>
      </c>
      <c r="M43" s="76" t="s">
        <v>184</v>
      </c>
      <c r="N43" s="76" t="s">
        <v>185</v>
      </c>
      <c r="O43" s="76" t="s">
        <v>189</v>
      </c>
      <c r="P43" s="76">
        <v>1</v>
      </c>
      <c r="Q43" s="76">
        <v>1</v>
      </c>
      <c r="R43" s="76">
        <v>0</v>
      </c>
      <c r="S43" s="76" t="s">
        <v>76</v>
      </c>
      <c r="T43" s="76" t="s">
        <v>76</v>
      </c>
      <c r="U43" s="76" t="s">
        <v>76</v>
      </c>
      <c r="V43" s="76">
        <v>21212891</v>
      </c>
      <c r="W43" s="76" t="s">
        <v>178</v>
      </c>
      <c r="X43" s="76" t="s">
        <v>115</v>
      </c>
      <c r="Y43" s="76">
        <v>2</v>
      </c>
      <c r="Z43" s="76" t="s">
        <v>190</v>
      </c>
      <c r="AA43" s="76" t="s">
        <v>80</v>
      </c>
      <c r="AB43" s="76">
        <v>1</v>
      </c>
      <c r="AC43" s="76" t="s">
        <v>80</v>
      </c>
      <c r="AD43" s="77" t="s">
        <v>77</v>
      </c>
      <c r="AE43" s="77" t="s">
        <v>77</v>
      </c>
    </row>
    <row r="44" spans="1:31" x14ac:dyDescent="0.2">
      <c r="A44" s="76" t="s">
        <v>178</v>
      </c>
      <c r="B44" s="76" t="s">
        <v>64</v>
      </c>
      <c r="C44" s="76" t="s">
        <v>109</v>
      </c>
      <c r="D44" s="76" t="s">
        <v>179</v>
      </c>
      <c r="E44" s="74" t="s">
        <v>180</v>
      </c>
      <c r="F44" s="75">
        <v>46037</v>
      </c>
      <c r="G44" s="77">
        <v>46067</v>
      </c>
      <c r="H44" s="76" t="s">
        <v>68</v>
      </c>
      <c r="I44" s="76" t="s">
        <v>181</v>
      </c>
      <c r="J44" s="76" t="s">
        <v>182</v>
      </c>
      <c r="K44" s="76" t="s">
        <v>71</v>
      </c>
      <c r="L44" s="76" t="s">
        <v>191</v>
      </c>
      <c r="M44" s="76" t="s">
        <v>184</v>
      </c>
      <c r="N44" s="76" t="s">
        <v>185</v>
      </c>
      <c r="O44" s="76" t="s">
        <v>192</v>
      </c>
      <c r="P44" s="76">
        <v>1</v>
      </c>
      <c r="Q44" s="76">
        <v>1</v>
      </c>
      <c r="R44" s="76">
        <v>0</v>
      </c>
      <c r="S44" s="76" t="s">
        <v>76</v>
      </c>
      <c r="T44" s="76" t="s">
        <v>76</v>
      </c>
      <c r="U44" s="76" t="s">
        <v>76</v>
      </c>
      <c r="V44" s="76">
        <v>21212891</v>
      </c>
      <c r="W44" s="76" t="s">
        <v>178</v>
      </c>
      <c r="X44" s="76" t="s">
        <v>115</v>
      </c>
      <c r="Y44" s="76">
        <v>3</v>
      </c>
      <c r="Z44" s="76" t="s">
        <v>193</v>
      </c>
      <c r="AA44" s="76" t="s">
        <v>80</v>
      </c>
      <c r="AB44" s="76">
        <v>1</v>
      </c>
      <c r="AC44" s="76" t="s">
        <v>80</v>
      </c>
      <c r="AD44" s="77" t="s">
        <v>77</v>
      </c>
      <c r="AE44" s="77" t="s">
        <v>77</v>
      </c>
    </row>
    <row r="45" spans="1:31" x14ac:dyDescent="0.2">
      <c r="A45" s="76" t="s">
        <v>178</v>
      </c>
      <c r="B45" s="76" t="s">
        <v>64</v>
      </c>
      <c r="C45" s="76" t="s">
        <v>109</v>
      </c>
      <c r="D45" s="76" t="s">
        <v>179</v>
      </c>
      <c r="E45" s="74" t="s">
        <v>180</v>
      </c>
      <c r="F45" s="75">
        <v>46037</v>
      </c>
      <c r="G45" s="77">
        <v>46067</v>
      </c>
      <c r="H45" s="76" t="s">
        <v>68</v>
      </c>
      <c r="I45" s="76" t="s">
        <v>181</v>
      </c>
      <c r="J45" s="76" t="s">
        <v>182</v>
      </c>
      <c r="K45" s="76" t="s">
        <v>71</v>
      </c>
      <c r="L45" s="76" t="s">
        <v>194</v>
      </c>
      <c r="M45" s="76" t="s">
        <v>195</v>
      </c>
      <c r="N45" s="76" t="s">
        <v>196</v>
      </c>
      <c r="O45" s="76" t="s">
        <v>197</v>
      </c>
      <c r="P45" s="76">
        <v>1</v>
      </c>
      <c r="Q45" s="76">
        <v>1</v>
      </c>
      <c r="R45" s="76">
        <v>0</v>
      </c>
      <c r="S45" s="76" t="s">
        <v>76</v>
      </c>
      <c r="T45" s="76" t="s">
        <v>76</v>
      </c>
      <c r="U45" s="76" t="s">
        <v>76</v>
      </c>
      <c r="V45" s="76">
        <v>21212891</v>
      </c>
      <c r="W45" s="76" t="s">
        <v>178</v>
      </c>
      <c r="X45" s="76" t="s">
        <v>115</v>
      </c>
      <c r="Y45" s="76">
        <v>4</v>
      </c>
      <c r="Z45" s="76" t="s">
        <v>198</v>
      </c>
      <c r="AA45" s="76" t="s">
        <v>80</v>
      </c>
      <c r="AB45" s="76">
        <v>1</v>
      </c>
      <c r="AC45" s="76" t="s">
        <v>80</v>
      </c>
      <c r="AD45" s="77" t="s">
        <v>77</v>
      </c>
      <c r="AE45" s="77" t="s">
        <v>77</v>
      </c>
    </row>
    <row r="46" spans="1:31" x14ac:dyDescent="0.2">
      <c r="A46" s="76" t="s">
        <v>178</v>
      </c>
      <c r="B46" s="76" t="s">
        <v>64</v>
      </c>
      <c r="C46" s="76" t="s">
        <v>109</v>
      </c>
      <c r="D46" s="76" t="s">
        <v>179</v>
      </c>
      <c r="E46" s="74" t="s">
        <v>180</v>
      </c>
      <c r="F46" s="75">
        <v>46037</v>
      </c>
      <c r="G46" s="77">
        <v>46067</v>
      </c>
      <c r="H46" s="76" t="s">
        <v>68</v>
      </c>
      <c r="I46" s="76" t="s">
        <v>181</v>
      </c>
      <c r="J46" s="76" t="s">
        <v>182</v>
      </c>
      <c r="K46" s="76" t="s">
        <v>71</v>
      </c>
      <c r="L46" s="76" t="s">
        <v>199</v>
      </c>
      <c r="M46" s="76" t="s">
        <v>87</v>
      </c>
      <c r="N46" s="76" t="s">
        <v>88</v>
      </c>
      <c r="O46" s="76" t="s">
        <v>200</v>
      </c>
      <c r="P46" s="76">
        <v>1</v>
      </c>
      <c r="Q46" s="76">
        <v>1</v>
      </c>
      <c r="R46" s="76">
        <v>0</v>
      </c>
      <c r="S46" s="76" t="s">
        <v>76</v>
      </c>
      <c r="T46" s="76" t="s">
        <v>76</v>
      </c>
      <c r="U46" s="76" t="s">
        <v>76</v>
      </c>
      <c r="V46" s="76">
        <v>21212891</v>
      </c>
      <c r="W46" s="76" t="s">
        <v>178</v>
      </c>
      <c r="X46" s="76" t="s">
        <v>115</v>
      </c>
      <c r="Y46" s="76">
        <v>5</v>
      </c>
      <c r="Z46" s="76" t="s">
        <v>201</v>
      </c>
      <c r="AA46" s="76" t="s">
        <v>80</v>
      </c>
      <c r="AB46" s="76">
        <v>1</v>
      </c>
      <c r="AC46" s="76" t="s">
        <v>80</v>
      </c>
      <c r="AD46" s="77" t="s">
        <v>77</v>
      </c>
      <c r="AE46" s="77" t="s">
        <v>77</v>
      </c>
    </row>
    <row r="47" spans="1:31" x14ac:dyDescent="0.2">
      <c r="A47" s="76" t="s">
        <v>178</v>
      </c>
      <c r="B47" s="76" t="s">
        <v>64</v>
      </c>
      <c r="C47" s="76" t="s">
        <v>109</v>
      </c>
      <c r="D47" s="76" t="s">
        <v>179</v>
      </c>
      <c r="E47" s="74" t="s">
        <v>180</v>
      </c>
      <c r="F47" s="75">
        <v>46037</v>
      </c>
      <c r="G47" s="77">
        <v>46067</v>
      </c>
      <c r="H47" s="76" t="s">
        <v>68</v>
      </c>
      <c r="I47" s="76" t="s">
        <v>181</v>
      </c>
      <c r="J47" s="76" t="s">
        <v>182</v>
      </c>
      <c r="K47" s="76" t="s">
        <v>71</v>
      </c>
      <c r="L47" s="76" t="s">
        <v>202</v>
      </c>
      <c r="M47" s="76" t="s">
        <v>203</v>
      </c>
      <c r="N47" s="76" t="s">
        <v>88</v>
      </c>
      <c r="O47" s="76" t="s">
        <v>204</v>
      </c>
      <c r="P47" s="76">
        <v>1</v>
      </c>
      <c r="Q47" s="76">
        <v>1</v>
      </c>
      <c r="R47" s="76">
        <v>0</v>
      </c>
      <c r="S47" s="76" t="s">
        <v>76</v>
      </c>
      <c r="T47" s="76" t="s">
        <v>76</v>
      </c>
      <c r="U47" s="76" t="s">
        <v>76</v>
      </c>
      <c r="V47" s="76">
        <v>21212891</v>
      </c>
      <c r="W47" s="76" t="s">
        <v>178</v>
      </c>
      <c r="X47" s="76" t="s">
        <v>115</v>
      </c>
      <c r="Y47" s="76">
        <v>6</v>
      </c>
      <c r="Z47" s="76" t="s">
        <v>205</v>
      </c>
      <c r="AA47" s="76" t="s">
        <v>80</v>
      </c>
      <c r="AB47" s="76">
        <v>1</v>
      </c>
      <c r="AC47" s="76" t="s">
        <v>80</v>
      </c>
      <c r="AD47" s="77" t="s">
        <v>77</v>
      </c>
      <c r="AE47" s="77" t="s">
        <v>77</v>
      </c>
    </row>
    <row r="48" spans="1:31" x14ac:dyDescent="0.2">
      <c r="A48" s="76" t="s">
        <v>178</v>
      </c>
      <c r="B48" s="76" t="s">
        <v>64</v>
      </c>
      <c r="C48" s="76" t="s">
        <v>109</v>
      </c>
      <c r="D48" s="76" t="s">
        <v>179</v>
      </c>
      <c r="E48" s="74" t="s">
        <v>180</v>
      </c>
      <c r="F48" s="75">
        <v>46037</v>
      </c>
      <c r="G48" s="77">
        <v>46067</v>
      </c>
      <c r="H48" s="76" t="s">
        <v>68</v>
      </c>
      <c r="I48" s="76" t="s">
        <v>181</v>
      </c>
      <c r="J48" s="76" t="s">
        <v>182</v>
      </c>
      <c r="K48" s="76" t="s">
        <v>71</v>
      </c>
      <c r="L48" s="76" t="s">
        <v>206</v>
      </c>
      <c r="M48" s="76" t="s">
        <v>73</v>
      </c>
      <c r="N48" s="76" t="s">
        <v>74</v>
      </c>
      <c r="O48" s="76" t="s">
        <v>207</v>
      </c>
      <c r="P48" s="76">
        <v>1</v>
      </c>
      <c r="Q48" s="76">
        <v>1</v>
      </c>
      <c r="R48" s="76">
        <v>0</v>
      </c>
      <c r="S48" s="76" t="s">
        <v>76</v>
      </c>
      <c r="T48" s="76" t="s">
        <v>76</v>
      </c>
      <c r="U48" s="76" t="s">
        <v>76</v>
      </c>
      <c r="V48" s="76">
        <v>21212891</v>
      </c>
      <c r="W48" s="76" t="s">
        <v>178</v>
      </c>
      <c r="X48" s="76" t="s">
        <v>115</v>
      </c>
      <c r="Y48" s="76">
        <v>7</v>
      </c>
      <c r="Z48" s="76" t="s">
        <v>208</v>
      </c>
      <c r="AA48" s="76" t="s">
        <v>80</v>
      </c>
      <c r="AB48" s="76">
        <v>1</v>
      </c>
      <c r="AC48" s="76" t="s">
        <v>80</v>
      </c>
      <c r="AD48" s="77" t="s">
        <v>77</v>
      </c>
      <c r="AE48" s="77" t="s">
        <v>77</v>
      </c>
    </row>
    <row r="49" spans="1:31" x14ac:dyDescent="0.2">
      <c r="A49" s="76" t="s">
        <v>178</v>
      </c>
      <c r="B49" s="76" t="s">
        <v>64</v>
      </c>
      <c r="C49" s="76" t="s">
        <v>109</v>
      </c>
      <c r="D49" s="76" t="s">
        <v>179</v>
      </c>
      <c r="E49" s="74" t="s">
        <v>180</v>
      </c>
      <c r="F49" s="75">
        <v>46037</v>
      </c>
      <c r="G49" s="77">
        <v>46067</v>
      </c>
      <c r="H49" s="76" t="s">
        <v>68</v>
      </c>
      <c r="I49" s="76" t="s">
        <v>181</v>
      </c>
      <c r="J49" s="76" t="s">
        <v>182</v>
      </c>
      <c r="K49" s="76" t="s">
        <v>71</v>
      </c>
      <c r="L49" s="76" t="s">
        <v>100</v>
      </c>
      <c r="M49" s="76" t="s">
        <v>73</v>
      </c>
      <c r="N49" s="76" t="s">
        <v>74</v>
      </c>
      <c r="O49" s="76" t="s">
        <v>101</v>
      </c>
      <c r="P49" s="76">
        <v>1</v>
      </c>
      <c r="Q49" s="76">
        <v>1</v>
      </c>
      <c r="R49" s="76">
        <v>0</v>
      </c>
      <c r="S49" s="76" t="s">
        <v>76</v>
      </c>
      <c r="T49" s="76" t="s">
        <v>76</v>
      </c>
      <c r="U49" s="76" t="s">
        <v>76</v>
      </c>
      <c r="V49" s="76">
        <v>21212891</v>
      </c>
      <c r="W49" s="76" t="s">
        <v>178</v>
      </c>
      <c r="X49" s="76" t="s">
        <v>115</v>
      </c>
      <c r="Y49" s="76">
        <v>8</v>
      </c>
      <c r="Z49" s="76" t="s">
        <v>102</v>
      </c>
      <c r="AA49" s="76" t="s">
        <v>80</v>
      </c>
      <c r="AB49" s="76">
        <v>1</v>
      </c>
      <c r="AC49" s="76" t="s">
        <v>80</v>
      </c>
      <c r="AD49" s="77" t="s">
        <v>77</v>
      </c>
      <c r="AE49" s="77" t="s">
        <v>77</v>
      </c>
    </row>
    <row r="50" spans="1:31" x14ac:dyDescent="0.2">
      <c r="A50" s="76" t="s">
        <v>178</v>
      </c>
      <c r="B50" s="76" t="s">
        <v>64</v>
      </c>
      <c r="C50" s="76" t="s">
        <v>109</v>
      </c>
      <c r="D50" s="76" t="s">
        <v>179</v>
      </c>
      <c r="E50" s="74" t="s">
        <v>180</v>
      </c>
      <c r="F50" s="75">
        <v>46037</v>
      </c>
      <c r="G50" s="77">
        <v>46067</v>
      </c>
      <c r="H50" s="76" t="s">
        <v>68</v>
      </c>
      <c r="I50" s="76" t="s">
        <v>181</v>
      </c>
      <c r="J50" s="76" t="s">
        <v>182</v>
      </c>
      <c r="K50" s="76" t="s">
        <v>71</v>
      </c>
      <c r="L50" s="76" t="s">
        <v>209</v>
      </c>
      <c r="M50" s="76" t="s">
        <v>210</v>
      </c>
      <c r="N50" s="76" t="s">
        <v>133</v>
      </c>
      <c r="O50" s="76" t="s">
        <v>211</v>
      </c>
      <c r="P50" s="76">
        <v>1</v>
      </c>
      <c r="Q50" s="76">
        <v>1</v>
      </c>
      <c r="R50" s="76">
        <v>0</v>
      </c>
      <c r="S50" s="76" t="s">
        <v>76</v>
      </c>
      <c r="T50" s="76" t="s">
        <v>76</v>
      </c>
      <c r="U50" s="76" t="s">
        <v>76</v>
      </c>
      <c r="V50" s="76">
        <v>21212891</v>
      </c>
      <c r="W50" s="76" t="s">
        <v>178</v>
      </c>
      <c r="X50" s="76" t="s">
        <v>115</v>
      </c>
      <c r="Y50" s="76">
        <v>9</v>
      </c>
      <c r="Z50" s="76" t="s">
        <v>212</v>
      </c>
      <c r="AA50" s="76" t="s">
        <v>80</v>
      </c>
      <c r="AB50" s="76">
        <v>1</v>
      </c>
      <c r="AC50" s="76" t="s">
        <v>80</v>
      </c>
      <c r="AD50" s="77" t="s">
        <v>77</v>
      </c>
      <c r="AE50" s="77" t="s">
        <v>77</v>
      </c>
    </row>
    <row r="51" spans="1:31" x14ac:dyDescent="0.2">
      <c r="A51" s="76" t="s">
        <v>178</v>
      </c>
      <c r="B51" s="76" t="s">
        <v>64</v>
      </c>
      <c r="C51" s="76" t="s">
        <v>109</v>
      </c>
      <c r="D51" s="76" t="s">
        <v>179</v>
      </c>
      <c r="E51" s="74" t="s">
        <v>180</v>
      </c>
      <c r="F51" s="75">
        <v>46037</v>
      </c>
      <c r="G51" s="77">
        <v>46067</v>
      </c>
      <c r="H51" s="76" t="s">
        <v>68</v>
      </c>
      <c r="I51" s="76" t="s">
        <v>181</v>
      </c>
      <c r="J51" s="76" t="s">
        <v>182</v>
      </c>
      <c r="K51" s="76" t="s">
        <v>71</v>
      </c>
      <c r="L51" s="76" t="s">
        <v>213</v>
      </c>
      <c r="M51" s="76" t="s">
        <v>156</v>
      </c>
      <c r="N51" s="76" t="s">
        <v>74</v>
      </c>
      <c r="O51" s="76" t="s">
        <v>214</v>
      </c>
      <c r="P51" s="76">
        <v>1</v>
      </c>
      <c r="Q51" s="76">
        <v>1</v>
      </c>
      <c r="R51" s="76">
        <v>0</v>
      </c>
      <c r="S51" s="76" t="s">
        <v>76</v>
      </c>
      <c r="T51" s="76" t="s">
        <v>76</v>
      </c>
      <c r="U51" s="76" t="s">
        <v>76</v>
      </c>
      <c r="V51" s="76">
        <v>21212891</v>
      </c>
      <c r="W51" s="76" t="s">
        <v>178</v>
      </c>
      <c r="X51" s="76" t="s">
        <v>115</v>
      </c>
      <c r="Y51" s="76">
        <v>10</v>
      </c>
      <c r="Z51" s="76" t="s">
        <v>215</v>
      </c>
      <c r="AA51" s="76" t="s">
        <v>80</v>
      </c>
      <c r="AB51" s="76">
        <v>1</v>
      </c>
      <c r="AC51" s="76" t="s">
        <v>80</v>
      </c>
      <c r="AD51" s="77" t="s">
        <v>77</v>
      </c>
      <c r="AE51" s="77" t="s">
        <v>77</v>
      </c>
    </row>
    <row r="52" spans="1:31" x14ac:dyDescent="0.2">
      <c r="A52" s="76" t="s">
        <v>178</v>
      </c>
      <c r="B52" s="76" t="s">
        <v>64</v>
      </c>
      <c r="C52" s="76" t="s">
        <v>109</v>
      </c>
      <c r="D52" s="76" t="s">
        <v>179</v>
      </c>
      <c r="E52" s="74" t="s">
        <v>180</v>
      </c>
      <c r="F52" s="75">
        <v>46037</v>
      </c>
      <c r="G52" s="77">
        <v>46067</v>
      </c>
      <c r="H52" s="76" t="s">
        <v>68</v>
      </c>
      <c r="I52" s="76" t="s">
        <v>181</v>
      </c>
      <c r="J52" s="76" t="s">
        <v>182</v>
      </c>
      <c r="K52" s="76" t="s">
        <v>71</v>
      </c>
      <c r="L52" s="76" t="s">
        <v>216</v>
      </c>
      <c r="M52" s="76" t="s">
        <v>217</v>
      </c>
      <c r="N52" s="76" t="s">
        <v>218</v>
      </c>
      <c r="O52" s="76" t="s">
        <v>219</v>
      </c>
      <c r="P52" s="76">
        <v>1</v>
      </c>
      <c r="Q52" s="76">
        <v>1</v>
      </c>
      <c r="R52" s="76">
        <v>0</v>
      </c>
      <c r="S52" s="76" t="s">
        <v>76</v>
      </c>
      <c r="T52" s="76" t="s">
        <v>76</v>
      </c>
      <c r="U52" s="76" t="s">
        <v>76</v>
      </c>
      <c r="V52" s="76">
        <v>21212891</v>
      </c>
      <c r="W52" s="76" t="s">
        <v>178</v>
      </c>
      <c r="X52" s="76" t="s">
        <v>115</v>
      </c>
      <c r="Y52" s="76">
        <v>11</v>
      </c>
      <c r="Z52" s="76" t="s">
        <v>220</v>
      </c>
      <c r="AA52" s="76" t="s">
        <v>80</v>
      </c>
      <c r="AB52" s="76">
        <v>1</v>
      </c>
      <c r="AC52" s="76" t="s">
        <v>80</v>
      </c>
      <c r="AD52" s="77" t="s">
        <v>77</v>
      </c>
      <c r="AE52" s="77" t="s">
        <v>77</v>
      </c>
    </row>
    <row r="53" spans="1:31" x14ac:dyDescent="0.2">
      <c r="A53" s="76" t="s">
        <v>178</v>
      </c>
      <c r="B53" s="76" t="s">
        <v>64</v>
      </c>
      <c r="C53" s="76" t="s">
        <v>109</v>
      </c>
      <c r="D53" s="76" t="s">
        <v>179</v>
      </c>
      <c r="E53" s="74" t="s">
        <v>180</v>
      </c>
      <c r="F53" s="75">
        <v>46037</v>
      </c>
      <c r="G53" s="77">
        <v>46067</v>
      </c>
      <c r="H53" s="76" t="s">
        <v>68</v>
      </c>
      <c r="I53" s="76" t="s">
        <v>181</v>
      </c>
      <c r="J53" s="76" t="s">
        <v>182</v>
      </c>
      <c r="K53" s="76" t="s">
        <v>71</v>
      </c>
      <c r="L53" s="76" t="s">
        <v>221</v>
      </c>
      <c r="M53" s="76" t="s">
        <v>222</v>
      </c>
      <c r="N53" s="76" t="s">
        <v>223</v>
      </c>
      <c r="O53" s="76" t="s">
        <v>224</v>
      </c>
      <c r="P53" s="76">
        <v>1</v>
      </c>
      <c r="Q53" s="76">
        <v>1</v>
      </c>
      <c r="R53" s="76">
        <v>0</v>
      </c>
      <c r="S53" s="76" t="s">
        <v>76</v>
      </c>
      <c r="T53" s="76" t="s">
        <v>76</v>
      </c>
      <c r="U53" s="76" t="s">
        <v>76</v>
      </c>
      <c r="V53" s="76">
        <v>21212891</v>
      </c>
      <c r="W53" s="76" t="s">
        <v>178</v>
      </c>
      <c r="X53" s="76" t="s">
        <v>115</v>
      </c>
      <c r="Y53" s="76">
        <v>12</v>
      </c>
      <c r="Z53" s="76" t="s">
        <v>225</v>
      </c>
      <c r="AA53" s="76" t="s">
        <v>80</v>
      </c>
      <c r="AB53" s="76">
        <v>1</v>
      </c>
      <c r="AC53" s="76" t="s">
        <v>80</v>
      </c>
      <c r="AD53" s="77" t="s">
        <v>77</v>
      </c>
      <c r="AE53" s="77" t="s">
        <v>77</v>
      </c>
    </row>
    <row r="54" spans="1:31" x14ac:dyDescent="0.2">
      <c r="A54" s="76" t="s">
        <v>178</v>
      </c>
      <c r="B54" s="76" t="s">
        <v>64</v>
      </c>
      <c r="C54" s="76" t="s">
        <v>109</v>
      </c>
      <c r="D54" s="76" t="s">
        <v>179</v>
      </c>
      <c r="E54" s="74" t="s">
        <v>180</v>
      </c>
      <c r="F54" s="75">
        <v>46037</v>
      </c>
      <c r="G54" s="77">
        <v>46067</v>
      </c>
      <c r="H54" s="76" t="s">
        <v>68</v>
      </c>
      <c r="I54" s="76" t="s">
        <v>181</v>
      </c>
      <c r="J54" s="76" t="s">
        <v>182</v>
      </c>
      <c r="K54" s="76" t="s">
        <v>71</v>
      </c>
      <c r="L54" s="76" t="s">
        <v>226</v>
      </c>
      <c r="M54" s="76" t="s">
        <v>227</v>
      </c>
      <c r="N54" s="76" t="s">
        <v>228</v>
      </c>
      <c r="O54" s="76" t="s">
        <v>229</v>
      </c>
      <c r="P54" s="76">
        <v>1</v>
      </c>
      <c r="Q54" s="76">
        <v>1</v>
      </c>
      <c r="R54" s="76">
        <v>0</v>
      </c>
      <c r="S54" s="76" t="s">
        <v>76</v>
      </c>
      <c r="T54" s="76" t="s">
        <v>76</v>
      </c>
      <c r="U54" s="76" t="s">
        <v>76</v>
      </c>
      <c r="V54" s="76">
        <v>21212891</v>
      </c>
      <c r="W54" s="76" t="s">
        <v>178</v>
      </c>
      <c r="X54" s="76" t="s">
        <v>115</v>
      </c>
      <c r="Y54" s="76">
        <v>13</v>
      </c>
      <c r="Z54" s="76" t="s">
        <v>230</v>
      </c>
      <c r="AA54" s="76" t="s">
        <v>80</v>
      </c>
      <c r="AB54" s="76">
        <v>1</v>
      </c>
      <c r="AC54" s="76" t="s">
        <v>80</v>
      </c>
      <c r="AD54" s="77" t="s">
        <v>77</v>
      </c>
      <c r="AE54" s="77" t="s">
        <v>77</v>
      </c>
    </row>
    <row r="55" spans="1:31" x14ac:dyDescent="0.2">
      <c r="A55" s="76" t="s">
        <v>178</v>
      </c>
      <c r="B55" s="76" t="s">
        <v>64</v>
      </c>
      <c r="C55" s="76" t="s">
        <v>109</v>
      </c>
      <c r="D55" s="76" t="s">
        <v>179</v>
      </c>
      <c r="E55" s="74" t="s">
        <v>180</v>
      </c>
      <c r="F55" s="75">
        <v>46037</v>
      </c>
      <c r="G55" s="77">
        <v>46067</v>
      </c>
      <c r="H55" s="76" t="s">
        <v>68</v>
      </c>
      <c r="I55" s="76" t="s">
        <v>181</v>
      </c>
      <c r="J55" s="76" t="s">
        <v>182</v>
      </c>
      <c r="K55" s="76" t="s">
        <v>71</v>
      </c>
      <c r="L55" s="76" t="s">
        <v>231</v>
      </c>
      <c r="M55" s="76" t="s">
        <v>232</v>
      </c>
      <c r="N55" s="76" t="s">
        <v>233</v>
      </c>
      <c r="O55" s="76" t="s">
        <v>234</v>
      </c>
      <c r="P55" s="76">
        <v>1</v>
      </c>
      <c r="Q55" s="76">
        <v>1</v>
      </c>
      <c r="R55" s="76">
        <v>0</v>
      </c>
      <c r="S55" s="76" t="s">
        <v>76</v>
      </c>
      <c r="T55" s="76" t="s">
        <v>76</v>
      </c>
      <c r="U55" s="76" t="s">
        <v>76</v>
      </c>
      <c r="V55" s="76">
        <v>21212891</v>
      </c>
      <c r="W55" s="76" t="s">
        <v>178</v>
      </c>
      <c r="X55" s="76" t="s">
        <v>115</v>
      </c>
      <c r="Y55" s="76">
        <v>14</v>
      </c>
      <c r="Z55" s="76" t="s">
        <v>235</v>
      </c>
      <c r="AA55" s="76" t="s">
        <v>80</v>
      </c>
      <c r="AB55" s="76">
        <v>1</v>
      </c>
      <c r="AC55" s="76" t="s">
        <v>80</v>
      </c>
      <c r="AD55" s="77" t="s">
        <v>77</v>
      </c>
      <c r="AE55" s="77" t="s">
        <v>77</v>
      </c>
    </row>
    <row r="56" spans="1:31" x14ac:dyDescent="0.2">
      <c r="A56" s="76" t="s">
        <v>178</v>
      </c>
      <c r="B56" s="76" t="s">
        <v>64</v>
      </c>
      <c r="C56" s="76" t="s">
        <v>109</v>
      </c>
      <c r="D56" s="76" t="s">
        <v>179</v>
      </c>
      <c r="E56" s="74" t="s">
        <v>180</v>
      </c>
      <c r="F56" s="75">
        <v>46037</v>
      </c>
      <c r="G56" s="77">
        <v>46067</v>
      </c>
      <c r="H56" s="76" t="s">
        <v>68</v>
      </c>
      <c r="I56" s="76" t="s">
        <v>181</v>
      </c>
      <c r="J56" s="76" t="s">
        <v>182</v>
      </c>
      <c r="K56" s="76" t="s">
        <v>71</v>
      </c>
      <c r="L56" s="76" t="s">
        <v>236</v>
      </c>
      <c r="M56" s="76" t="s">
        <v>232</v>
      </c>
      <c r="N56" s="76" t="s">
        <v>233</v>
      </c>
      <c r="O56" s="76" t="s">
        <v>237</v>
      </c>
      <c r="P56" s="76">
        <v>1</v>
      </c>
      <c r="Q56" s="76">
        <v>1</v>
      </c>
      <c r="R56" s="76">
        <v>0</v>
      </c>
      <c r="S56" s="76" t="s">
        <v>76</v>
      </c>
      <c r="T56" s="76" t="s">
        <v>76</v>
      </c>
      <c r="U56" s="76" t="s">
        <v>76</v>
      </c>
      <c r="V56" s="76">
        <v>21212891</v>
      </c>
      <c r="W56" s="76" t="s">
        <v>178</v>
      </c>
      <c r="X56" s="76" t="s">
        <v>115</v>
      </c>
      <c r="Y56" s="76">
        <v>15</v>
      </c>
      <c r="Z56" s="76" t="s">
        <v>238</v>
      </c>
      <c r="AA56" s="76" t="s">
        <v>80</v>
      </c>
      <c r="AB56" s="76">
        <v>1</v>
      </c>
      <c r="AC56" s="76" t="s">
        <v>80</v>
      </c>
      <c r="AD56" s="77" t="s">
        <v>77</v>
      </c>
      <c r="AE56" s="77" t="s">
        <v>77</v>
      </c>
    </row>
    <row r="57" spans="1:31" x14ac:dyDescent="0.2">
      <c r="A57" s="76" t="s">
        <v>178</v>
      </c>
      <c r="B57" s="76" t="s">
        <v>64</v>
      </c>
      <c r="C57" s="76" t="s">
        <v>109</v>
      </c>
      <c r="D57" s="76" t="s">
        <v>179</v>
      </c>
      <c r="E57" s="74" t="s">
        <v>180</v>
      </c>
      <c r="F57" s="75">
        <v>46037</v>
      </c>
      <c r="G57" s="77">
        <v>46067</v>
      </c>
      <c r="H57" s="76" t="s">
        <v>68</v>
      </c>
      <c r="I57" s="76" t="s">
        <v>181</v>
      </c>
      <c r="J57" s="76" t="s">
        <v>182</v>
      </c>
      <c r="K57" s="76" t="s">
        <v>71</v>
      </c>
      <c r="L57" s="76" t="s">
        <v>239</v>
      </c>
      <c r="M57" s="76" t="s">
        <v>240</v>
      </c>
      <c r="N57" s="76" t="s">
        <v>241</v>
      </c>
      <c r="O57" s="76" t="s">
        <v>242</v>
      </c>
      <c r="P57" s="76">
        <v>1</v>
      </c>
      <c r="Q57" s="76">
        <v>1</v>
      </c>
      <c r="R57" s="76">
        <v>0</v>
      </c>
      <c r="S57" s="76" t="s">
        <v>76</v>
      </c>
      <c r="T57" s="76" t="s">
        <v>76</v>
      </c>
      <c r="U57" s="76" t="s">
        <v>76</v>
      </c>
      <c r="V57" s="76">
        <v>21212891</v>
      </c>
      <c r="W57" s="76" t="s">
        <v>178</v>
      </c>
      <c r="X57" s="76" t="s">
        <v>115</v>
      </c>
      <c r="Y57" s="76">
        <v>16</v>
      </c>
      <c r="Z57" s="76" t="s">
        <v>243</v>
      </c>
      <c r="AA57" s="76" t="s">
        <v>80</v>
      </c>
      <c r="AB57" s="76">
        <v>1</v>
      </c>
      <c r="AC57" s="76" t="s">
        <v>80</v>
      </c>
      <c r="AD57" s="77" t="s">
        <v>77</v>
      </c>
      <c r="AE57" s="77" t="s">
        <v>77</v>
      </c>
    </row>
    <row r="58" spans="1:31" x14ac:dyDescent="0.2">
      <c r="A58" s="76" t="s">
        <v>178</v>
      </c>
      <c r="B58" s="76" t="s">
        <v>64</v>
      </c>
      <c r="C58" s="76" t="s">
        <v>109</v>
      </c>
      <c r="D58" s="76" t="s">
        <v>179</v>
      </c>
      <c r="E58" s="74" t="s">
        <v>180</v>
      </c>
      <c r="F58" s="75">
        <v>46037</v>
      </c>
      <c r="G58" s="77">
        <v>46067</v>
      </c>
      <c r="H58" s="76" t="s">
        <v>68</v>
      </c>
      <c r="I58" s="76" t="s">
        <v>181</v>
      </c>
      <c r="J58" s="76" t="s">
        <v>182</v>
      </c>
      <c r="K58" s="76" t="s">
        <v>71</v>
      </c>
      <c r="L58" s="76" t="s">
        <v>244</v>
      </c>
      <c r="M58" s="76" t="s">
        <v>245</v>
      </c>
      <c r="N58" s="76" t="s">
        <v>246</v>
      </c>
      <c r="O58" s="76" t="s">
        <v>247</v>
      </c>
      <c r="P58" s="76">
        <v>1</v>
      </c>
      <c r="Q58" s="76">
        <v>1</v>
      </c>
      <c r="R58" s="76">
        <v>0</v>
      </c>
      <c r="S58" s="76" t="s">
        <v>76</v>
      </c>
      <c r="T58" s="76" t="s">
        <v>76</v>
      </c>
      <c r="U58" s="76" t="s">
        <v>76</v>
      </c>
      <c r="V58" s="76">
        <v>21212891</v>
      </c>
      <c r="W58" s="76" t="s">
        <v>178</v>
      </c>
      <c r="X58" s="76" t="s">
        <v>115</v>
      </c>
      <c r="Y58" s="76">
        <v>17</v>
      </c>
      <c r="Z58" s="76" t="s">
        <v>248</v>
      </c>
      <c r="AA58" s="76" t="s">
        <v>80</v>
      </c>
      <c r="AB58" s="76">
        <v>1</v>
      </c>
      <c r="AC58" s="76" t="s">
        <v>80</v>
      </c>
      <c r="AD58" s="77" t="s">
        <v>77</v>
      </c>
      <c r="AE58" s="77" t="s">
        <v>77</v>
      </c>
    </row>
    <row r="59" spans="1:31" x14ac:dyDescent="0.2">
      <c r="A59" s="76" t="s">
        <v>178</v>
      </c>
      <c r="B59" s="76" t="s">
        <v>64</v>
      </c>
      <c r="C59" s="76" t="s">
        <v>109</v>
      </c>
      <c r="D59" s="76" t="s">
        <v>179</v>
      </c>
      <c r="E59" s="74" t="s">
        <v>180</v>
      </c>
      <c r="F59" s="75">
        <v>46037</v>
      </c>
      <c r="G59" s="77">
        <v>46067</v>
      </c>
      <c r="H59" s="76" t="s">
        <v>68</v>
      </c>
      <c r="I59" s="76" t="s">
        <v>181</v>
      </c>
      <c r="J59" s="76" t="s">
        <v>182</v>
      </c>
      <c r="K59" s="76" t="s">
        <v>71</v>
      </c>
      <c r="L59" s="76" t="s">
        <v>249</v>
      </c>
      <c r="M59" s="76" t="s">
        <v>250</v>
      </c>
      <c r="N59" s="76" t="s">
        <v>251</v>
      </c>
      <c r="O59" s="76" t="s">
        <v>252</v>
      </c>
      <c r="P59" s="76">
        <v>1</v>
      </c>
      <c r="Q59" s="76">
        <v>1</v>
      </c>
      <c r="R59" s="76">
        <v>0</v>
      </c>
      <c r="S59" s="76" t="s">
        <v>76</v>
      </c>
      <c r="T59" s="76" t="s">
        <v>76</v>
      </c>
      <c r="U59" s="76" t="s">
        <v>76</v>
      </c>
      <c r="V59" s="76">
        <v>21212891</v>
      </c>
      <c r="W59" s="76" t="s">
        <v>178</v>
      </c>
      <c r="X59" s="76" t="s">
        <v>115</v>
      </c>
      <c r="Y59" s="76">
        <v>18</v>
      </c>
      <c r="Z59" s="76" t="s">
        <v>253</v>
      </c>
      <c r="AA59" s="76" t="s">
        <v>80</v>
      </c>
      <c r="AB59" s="76">
        <v>1</v>
      </c>
      <c r="AC59" s="76" t="s">
        <v>80</v>
      </c>
      <c r="AD59" s="77" t="s">
        <v>77</v>
      </c>
      <c r="AE59" s="77" t="s">
        <v>77</v>
      </c>
    </row>
    <row r="60" spans="1:31" x14ac:dyDescent="0.2">
      <c r="A60" s="76" t="s">
        <v>178</v>
      </c>
      <c r="B60" s="76" t="s">
        <v>64</v>
      </c>
      <c r="C60" s="76" t="s">
        <v>109</v>
      </c>
      <c r="D60" s="76" t="s">
        <v>179</v>
      </c>
      <c r="E60" s="74" t="s">
        <v>180</v>
      </c>
      <c r="F60" s="75">
        <v>46037</v>
      </c>
      <c r="G60" s="77">
        <v>46067</v>
      </c>
      <c r="H60" s="76" t="s">
        <v>68</v>
      </c>
      <c r="I60" s="76" t="s">
        <v>181</v>
      </c>
      <c r="J60" s="76" t="s">
        <v>182</v>
      </c>
      <c r="K60" s="76" t="s">
        <v>71</v>
      </c>
      <c r="L60" s="76" t="s">
        <v>254</v>
      </c>
      <c r="M60" s="76" t="s">
        <v>255</v>
      </c>
      <c r="N60" s="76" t="s">
        <v>256</v>
      </c>
      <c r="O60" s="76" t="s">
        <v>257</v>
      </c>
      <c r="P60" s="76">
        <v>1</v>
      </c>
      <c r="Q60" s="76">
        <v>1</v>
      </c>
      <c r="R60" s="76">
        <v>0</v>
      </c>
      <c r="S60" s="76" t="s">
        <v>76</v>
      </c>
      <c r="T60" s="76" t="s">
        <v>76</v>
      </c>
      <c r="U60" s="76" t="s">
        <v>76</v>
      </c>
      <c r="V60" s="76">
        <v>21212891</v>
      </c>
      <c r="W60" s="76" t="s">
        <v>178</v>
      </c>
      <c r="X60" s="76" t="s">
        <v>115</v>
      </c>
      <c r="Y60" s="76">
        <v>19</v>
      </c>
      <c r="Z60" s="76" t="s">
        <v>258</v>
      </c>
      <c r="AA60" s="76" t="s">
        <v>80</v>
      </c>
      <c r="AB60" s="76">
        <v>1</v>
      </c>
      <c r="AC60" s="76" t="s">
        <v>80</v>
      </c>
      <c r="AD60" s="77" t="s">
        <v>77</v>
      </c>
      <c r="AE60" s="77" t="s">
        <v>77</v>
      </c>
    </row>
    <row r="61" spans="1:31" x14ac:dyDescent="0.2">
      <c r="A61" s="76" t="s">
        <v>259</v>
      </c>
      <c r="B61" s="76" t="s">
        <v>64</v>
      </c>
      <c r="C61" s="76" t="s">
        <v>65</v>
      </c>
      <c r="D61" s="76" t="s">
        <v>260</v>
      </c>
      <c r="E61" s="74" t="s">
        <v>261</v>
      </c>
      <c r="F61" s="75">
        <v>46037</v>
      </c>
      <c r="G61" s="77">
        <v>46067</v>
      </c>
      <c r="H61" s="76" t="s">
        <v>68</v>
      </c>
      <c r="I61" s="76" t="s">
        <v>69</v>
      </c>
      <c r="J61" s="76" t="s">
        <v>262</v>
      </c>
      <c r="K61" s="76" t="s">
        <v>71</v>
      </c>
      <c r="L61" s="76" t="s">
        <v>263</v>
      </c>
      <c r="M61" s="76" t="s">
        <v>264</v>
      </c>
      <c r="N61" s="76" t="s">
        <v>265</v>
      </c>
      <c r="O61" s="76" t="s">
        <v>266</v>
      </c>
      <c r="P61" s="76">
        <v>1</v>
      </c>
      <c r="Q61" s="76">
        <v>1</v>
      </c>
      <c r="R61" s="76">
        <v>0</v>
      </c>
      <c r="S61" s="76" t="s">
        <v>76</v>
      </c>
      <c r="T61" s="76" t="s">
        <v>76</v>
      </c>
      <c r="U61" s="76" t="s">
        <v>76</v>
      </c>
      <c r="V61" s="76">
        <v>21213096</v>
      </c>
      <c r="W61" s="76" t="s">
        <v>259</v>
      </c>
      <c r="X61" s="76" t="s">
        <v>78</v>
      </c>
      <c r="Y61" s="76">
        <v>1</v>
      </c>
      <c r="Z61" s="76" t="s">
        <v>267</v>
      </c>
      <c r="AA61" s="76" t="s">
        <v>80</v>
      </c>
      <c r="AB61" s="76">
        <v>1</v>
      </c>
      <c r="AC61" s="76" t="s">
        <v>80</v>
      </c>
      <c r="AD61" s="77" t="s">
        <v>77</v>
      </c>
      <c r="AE61" s="77" t="s">
        <v>77</v>
      </c>
    </row>
    <row r="62" spans="1:31" x14ac:dyDescent="0.2">
      <c r="A62" s="76" t="s">
        <v>259</v>
      </c>
      <c r="B62" s="76" t="s">
        <v>64</v>
      </c>
      <c r="C62" s="76" t="s">
        <v>65</v>
      </c>
      <c r="D62" s="76" t="s">
        <v>260</v>
      </c>
      <c r="E62" s="74" t="s">
        <v>261</v>
      </c>
      <c r="F62" s="75">
        <v>46037</v>
      </c>
      <c r="G62" s="77">
        <v>46067</v>
      </c>
      <c r="H62" s="76" t="s">
        <v>68</v>
      </c>
      <c r="I62" s="76" t="s">
        <v>69</v>
      </c>
      <c r="J62" s="76" t="s">
        <v>262</v>
      </c>
      <c r="K62" s="76" t="s">
        <v>71</v>
      </c>
      <c r="L62" s="76" t="s">
        <v>268</v>
      </c>
      <c r="M62" s="76" t="s">
        <v>264</v>
      </c>
      <c r="N62" s="76" t="s">
        <v>265</v>
      </c>
      <c r="O62" s="76" t="s">
        <v>269</v>
      </c>
      <c r="P62" s="76">
        <v>1</v>
      </c>
      <c r="Q62" s="76">
        <v>1</v>
      </c>
      <c r="R62" s="76">
        <v>0</v>
      </c>
      <c r="S62" s="76" t="s">
        <v>76</v>
      </c>
      <c r="T62" s="76" t="s">
        <v>76</v>
      </c>
      <c r="U62" s="76" t="s">
        <v>76</v>
      </c>
      <c r="V62" s="76">
        <v>21213096</v>
      </c>
      <c r="W62" s="76" t="s">
        <v>259</v>
      </c>
      <c r="X62" s="76" t="s">
        <v>78</v>
      </c>
      <c r="Y62" s="76">
        <v>2</v>
      </c>
      <c r="Z62" s="76" t="s">
        <v>270</v>
      </c>
      <c r="AA62" s="76" t="s">
        <v>80</v>
      </c>
      <c r="AB62" s="76">
        <v>1</v>
      </c>
      <c r="AC62" s="76" t="s">
        <v>80</v>
      </c>
      <c r="AD62" s="77" t="s">
        <v>77</v>
      </c>
      <c r="AE62" s="77" t="s">
        <v>77</v>
      </c>
    </row>
    <row r="63" spans="1:31" x14ac:dyDescent="0.2">
      <c r="A63" s="76" t="s">
        <v>259</v>
      </c>
      <c r="B63" s="76" t="s">
        <v>64</v>
      </c>
      <c r="C63" s="76" t="s">
        <v>65</v>
      </c>
      <c r="D63" s="76" t="s">
        <v>260</v>
      </c>
      <c r="E63" s="74" t="s">
        <v>261</v>
      </c>
      <c r="F63" s="75">
        <v>46037</v>
      </c>
      <c r="G63" s="77">
        <v>46067</v>
      </c>
      <c r="H63" s="76" t="s">
        <v>68</v>
      </c>
      <c r="I63" s="76" t="s">
        <v>69</v>
      </c>
      <c r="J63" s="76" t="s">
        <v>262</v>
      </c>
      <c r="K63" s="76" t="s">
        <v>71</v>
      </c>
      <c r="L63" s="76" t="s">
        <v>271</v>
      </c>
      <c r="M63" s="76" t="s">
        <v>272</v>
      </c>
      <c r="N63" s="76" t="s">
        <v>273</v>
      </c>
      <c r="O63" s="76" t="s">
        <v>274</v>
      </c>
      <c r="P63" s="76">
        <v>1</v>
      </c>
      <c r="Q63" s="76">
        <v>1</v>
      </c>
      <c r="R63" s="76">
        <v>0</v>
      </c>
      <c r="S63" s="76" t="s">
        <v>76</v>
      </c>
      <c r="T63" s="76" t="s">
        <v>76</v>
      </c>
      <c r="U63" s="76" t="s">
        <v>76</v>
      </c>
      <c r="V63" s="76">
        <v>21213096</v>
      </c>
      <c r="W63" s="76" t="s">
        <v>259</v>
      </c>
      <c r="X63" s="76" t="s">
        <v>78</v>
      </c>
      <c r="Y63" s="76">
        <v>3</v>
      </c>
      <c r="Z63" s="76" t="s">
        <v>275</v>
      </c>
      <c r="AA63" s="76" t="s">
        <v>80</v>
      </c>
      <c r="AB63" s="76">
        <v>1</v>
      </c>
      <c r="AC63" s="76" t="s">
        <v>80</v>
      </c>
      <c r="AD63" s="77" t="s">
        <v>77</v>
      </c>
      <c r="AE63" s="77" t="s">
        <v>77</v>
      </c>
    </row>
    <row r="64" spans="1:31" x14ac:dyDescent="0.2">
      <c r="A64" s="76" t="s">
        <v>259</v>
      </c>
      <c r="B64" s="76" t="s">
        <v>64</v>
      </c>
      <c r="C64" s="76" t="s">
        <v>65</v>
      </c>
      <c r="D64" s="76" t="s">
        <v>260</v>
      </c>
      <c r="E64" s="74" t="s">
        <v>261</v>
      </c>
      <c r="F64" s="75">
        <v>46037</v>
      </c>
      <c r="G64" s="77">
        <v>46067</v>
      </c>
      <c r="H64" s="76" t="s">
        <v>68</v>
      </c>
      <c r="I64" s="76" t="s">
        <v>69</v>
      </c>
      <c r="J64" s="76" t="s">
        <v>262</v>
      </c>
      <c r="K64" s="76" t="s">
        <v>71</v>
      </c>
      <c r="L64" s="76" t="s">
        <v>276</v>
      </c>
      <c r="M64" s="76" t="s">
        <v>272</v>
      </c>
      <c r="N64" s="76" t="s">
        <v>273</v>
      </c>
      <c r="O64" s="76" t="s">
        <v>277</v>
      </c>
      <c r="P64" s="76">
        <v>1</v>
      </c>
      <c r="Q64" s="76">
        <v>1</v>
      </c>
      <c r="R64" s="76">
        <v>0</v>
      </c>
      <c r="S64" s="76" t="s">
        <v>76</v>
      </c>
      <c r="T64" s="76" t="s">
        <v>76</v>
      </c>
      <c r="U64" s="76" t="s">
        <v>76</v>
      </c>
      <c r="V64" s="76">
        <v>21213096</v>
      </c>
      <c r="W64" s="76" t="s">
        <v>259</v>
      </c>
      <c r="X64" s="76" t="s">
        <v>78</v>
      </c>
      <c r="Y64" s="76">
        <v>4</v>
      </c>
      <c r="Z64" s="76" t="s">
        <v>278</v>
      </c>
      <c r="AA64" s="76" t="s">
        <v>80</v>
      </c>
      <c r="AB64" s="76">
        <v>1</v>
      </c>
      <c r="AC64" s="76" t="s">
        <v>80</v>
      </c>
      <c r="AD64" s="77" t="s">
        <v>77</v>
      </c>
      <c r="AE64" s="77" t="s">
        <v>77</v>
      </c>
    </row>
    <row r="65" spans="1:31" x14ac:dyDescent="0.2">
      <c r="A65" s="76" t="s">
        <v>259</v>
      </c>
      <c r="B65" s="76" t="s">
        <v>64</v>
      </c>
      <c r="C65" s="76" t="s">
        <v>65</v>
      </c>
      <c r="D65" s="76" t="s">
        <v>260</v>
      </c>
      <c r="E65" s="74" t="s">
        <v>261</v>
      </c>
      <c r="F65" s="75">
        <v>46037</v>
      </c>
      <c r="G65" s="77">
        <v>46067</v>
      </c>
      <c r="H65" s="76" t="s">
        <v>68</v>
      </c>
      <c r="I65" s="76" t="s">
        <v>69</v>
      </c>
      <c r="J65" s="76" t="s">
        <v>262</v>
      </c>
      <c r="K65" s="76" t="s">
        <v>71</v>
      </c>
      <c r="L65" s="76" t="s">
        <v>279</v>
      </c>
      <c r="M65" s="76" t="s">
        <v>184</v>
      </c>
      <c r="N65" s="76" t="s">
        <v>185</v>
      </c>
      <c r="O65" s="76" t="s">
        <v>280</v>
      </c>
      <c r="P65" s="76">
        <v>1</v>
      </c>
      <c r="Q65" s="76">
        <v>1</v>
      </c>
      <c r="R65" s="76">
        <v>0</v>
      </c>
      <c r="S65" s="76" t="s">
        <v>76</v>
      </c>
      <c r="T65" s="76" t="s">
        <v>76</v>
      </c>
      <c r="U65" s="76" t="s">
        <v>76</v>
      </c>
      <c r="V65" s="76">
        <v>21213096</v>
      </c>
      <c r="W65" s="76" t="s">
        <v>259</v>
      </c>
      <c r="X65" s="76" t="s">
        <v>78</v>
      </c>
      <c r="Y65" s="76">
        <v>5</v>
      </c>
      <c r="Z65" s="76" t="s">
        <v>281</v>
      </c>
      <c r="AA65" s="76" t="s">
        <v>80</v>
      </c>
      <c r="AB65" s="76">
        <v>1</v>
      </c>
      <c r="AC65" s="76" t="s">
        <v>80</v>
      </c>
      <c r="AD65" s="77" t="s">
        <v>77</v>
      </c>
      <c r="AE65" s="77" t="s">
        <v>77</v>
      </c>
    </row>
    <row r="66" spans="1:31" x14ac:dyDescent="0.2">
      <c r="A66" s="76" t="s">
        <v>259</v>
      </c>
      <c r="B66" s="76" t="s">
        <v>64</v>
      </c>
      <c r="C66" s="76" t="s">
        <v>65</v>
      </c>
      <c r="D66" s="76" t="s">
        <v>260</v>
      </c>
      <c r="E66" s="74" t="s">
        <v>261</v>
      </c>
      <c r="F66" s="75">
        <v>46037</v>
      </c>
      <c r="G66" s="77">
        <v>46067</v>
      </c>
      <c r="H66" s="76" t="s">
        <v>68</v>
      </c>
      <c r="I66" s="76" t="s">
        <v>69</v>
      </c>
      <c r="J66" s="76" t="s">
        <v>262</v>
      </c>
      <c r="K66" s="76" t="s">
        <v>71</v>
      </c>
      <c r="L66" s="76" t="s">
        <v>282</v>
      </c>
      <c r="M66" s="76" t="s">
        <v>184</v>
      </c>
      <c r="N66" s="76" t="s">
        <v>185</v>
      </c>
      <c r="O66" s="76" t="s">
        <v>283</v>
      </c>
      <c r="P66" s="76">
        <v>1</v>
      </c>
      <c r="Q66" s="76">
        <v>1</v>
      </c>
      <c r="R66" s="76">
        <v>0</v>
      </c>
      <c r="S66" s="76" t="s">
        <v>76</v>
      </c>
      <c r="T66" s="76" t="s">
        <v>76</v>
      </c>
      <c r="U66" s="76" t="s">
        <v>76</v>
      </c>
      <c r="V66" s="76">
        <v>21213096</v>
      </c>
      <c r="W66" s="76" t="s">
        <v>259</v>
      </c>
      <c r="X66" s="76" t="s">
        <v>78</v>
      </c>
      <c r="Y66" s="76">
        <v>6</v>
      </c>
      <c r="Z66" s="76" t="s">
        <v>284</v>
      </c>
      <c r="AA66" s="76" t="s">
        <v>80</v>
      </c>
      <c r="AB66" s="76">
        <v>1</v>
      </c>
      <c r="AC66" s="76" t="s">
        <v>80</v>
      </c>
      <c r="AD66" s="77" t="s">
        <v>77</v>
      </c>
      <c r="AE66" s="77" t="s">
        <v>77</v>
      </c>
    </row>
    <row r="67" spans="1:31" x14ac:dyDescent="0.2">
      <c r="A67" s="76" t="s">
        <v>259</v>
      </c>
      <c r="B67" s="76" t="s">
        <v>64</v>
      </c>
      <c r="C67" s="76" t="s">
        <v>65</v>
      </c>
      <c r="D67" s="76" t="s">
        <v>260</v>
      </c>
      <c r="E67" s="74" t="s">
        <v>261</v>
      </c>
      <c r="F67" s="75">
        <v>46037</v>
      </c>
      <c r="G67" s="77">
        <v>46067</v>
      </c>
      <c r="H67" s="76" t="s">
        <v>68</v>
      </c>
      <c r="I67" s="76" t="s">
        <v>69</v>
      </c>
      <c r="J67" s="76" t="s">
        <v>262</v>
      </c>
      <c r="K67" s="76" t="s">
        <v>71</v>
      </c>
      <c r="L67" s="76" t="s">
        <v>285</v>
      </c>
      <c r="M67" s="76" t="s">
        <v>184</v>
      </c>
      <c r="N67" s="76" t="s">
        <v>185</v>
      </c>
      <c r="O67" s="76" t="s">
        <v>286</v>
      </c>
      <c r="P67" s="76">
        <v>1</v>
      </c>
      <c r="Q67" s="76">
        <v>1</v>
      </c>
      <c r="R67" s="76">
        <v>0</v>
      </c>
      <c r="S67" s="76" t="s">
        <v>76</v>
      </c>
      <c r="T67" s="76" t="s">
        <v>76</v>
      </c>
      <c r="U67" s="76" t="s">
        <v>76</v>
      </c>
      <c r="V67" s="76">
        <v>21213096</v>
      </c>
      <c r="W67" s="76" t="s">
        <v>259</v>
      </c>
      <c r="X67" s="76" t="s">
        <v>78</v>
      </c>
      <c r="Y67" s="76">
        <v>7</v>
      </c>
      <c r="Z67" s="76" t="s">
        <v>287</v>
      </c>
      <c r="AA67" s="76" t="s">
        <v>80</v>
      </c>
      <c r="AB67" s="76">
        <v>1</v>
      </c>
      <c r="AC67" s="76" t="s">
        <v>80</v>
      </c>
      <c r="AD67" s="77" t="s">
        <v>77</v>
      </c>
      <c r="AE67" s="77" t="s">
        <v>77</v>
      </c>
    </row>
    <row r="68" spans="1:31" x14ac:dyDescent="0.2">
      <c r="A68" s="76" t="s">
        <v>259</v>
      </c>
      <c r="B68" s="76" t="s">
        <v>64</v>
      </c>
      <c r="C68" s="76" t="s">
        <v>65</v>
      </c>
      <c r="D68" s="76" t="s">
        <v>260</v>
      </c>
      <c r="E68" s="74" t="s">
        <v>261</v>
      </c>
      <c r="F68" s="75">
        <v>46037</v>
      </c>
      <c r="G68" s="77">
        <v>46067</v>
      </c>
      <c r="H68" s="76" t="s">
        <v>68</v>
      </c>
      <c r="I68" s="76" t="s">
        <v>69</v>
      </c>
      <c r="J68" s="76" t="s">
        <v>262</v>
      </c>
      <c r="K68" s="76" t="s">
        <v>71</v>
      </c>
      <c r="L68" s="76" t="s">
        <v>288</v>
      </c>
      <c r="M68" s="76" t="s">
        <v>195</v>
      </c>
      <c r="N68" s="76" t="s">
        <v>196</v>
      </c>
      <c r="O68" s="76" t="s">
        <v>289</v>
      </c>
      <c r="P68" s="76">
        <v>1</v>
      </c>
      <c r="Q68" s="76">
        <v>1</v>
      </c>
      <c r="R68" s="76">
        <v>0</v>
      </c>
      <c r="S68" s="76" t="s">
        <v>76</v>
      </c>
      <c r="T68" s="76" t="s">
        <v>76</v>
      </c>
      <c r="U68" s="76" t="s">
        <v>76</v>
      </c>
      <c r="V68" s="76">
        <v>21213096</v>
      </c>
      <c r="W68" s="76" t="s">
        <v>259</v>
      </c>
      <c r="X68" s="76" t="s">
        <v>78</v>
      </c>
      <c r="Y68" s="76">
        <v>8</v>
      </c>
      <c r="Z68" s="76" t="s">
        <v>290</v>
      </c>
      <c r="AA68" s="76" t="s">
        <v>80</v>
      </c>
      <c r="AB68" s="76">
        <v>1</v>
      </c>
      <c r="AC68" s="76" t="s">
        <v>80</v>
      </c>
      <c r="AD68" s="77" t="s">
        <v>77</v>
      </c>
      <c r="AE68" s="77" t="s">
        <v>77</v>
      </c>
    </row>
    <row r="69" spans="1:31" x14ac:dyDescent="0.2">
      <c r="A69" s="76" t="s">
        <v>259</v>
      </c>
      <c r="B69" s="76" t="s">
        <v>64</v>
      </c>
      <c r="C69" s="76" t="s">
        <v>65</v>
      </c>
      <c r="D69" s="76" t="s">
        <v>260</v>
      </c>
      <c r="E69" s="74" t="s">
        <v>261</v>
      </c>
      <c r="F69" s="75">
        <v>46037</v>
      </c>
      <c r="G69" s="77">
        <v>46067</v>
      </c>
      <c r="H69" s="76" t="s">
        <v>68</v>
      </c>
      <c r="I69" s="76" t="s">
        <v>69</v>
      </c>
      <c r="J69" s="76" t="s">
        <v>262</v>
      </c>
      <c r="K69" s="76" t="s">
        <v>71</v>
      </c>
      <c r="L69" s="76" t="s">
        <v>291</v>
      </c>
      <c r="M69" s="76" t="s">
        <v>292</v>
      </c>
      <c r="N69" s="76" t="s">
        <v>293</v>
      </c>
      <c r="O69" s="76" t="s">
        <v>294</v>
      </c>
      <c r="P69" s="76">
        <v>1</v>
      </c>
      <c r="Q69" s="76">
        <v>1</v>
      </c>
      <c r="R69" s="76">
        <v>0</v>
      </c>
      <c r="S69" s="76" t="s">
        <v>76</v>
      </c>
      <c r="T69" s="76" t="s">
        <v>76</v>
      </c>
      <c r="U69" s="76" t="s">
        <v>76</v>
      </c>
      <c r="V69" s="76">
        <v>21213096</v>
      </c>
      <c r="W69" s="76" t="s">
        <v>259</v>
      </c>
      <c r="X69" s="76" t="s">
        <v>78</v>
      </c>
      <c r="Y69" s="76">
        <v>9</v>
      </c>
      <c r="Z69" s="76" t="s">
        <v>295</v>
      </c>
      <c r="AA69" s="76" t="s">
        <v>80</v>
      </c>
      <c r="AB69" s="76">
        <v>1</v>
      </c>
      <c r="AC69" s="76" t="s">
        <v>80</v>
      </c>
      <c r="AD69" s="77" t="s">
        <v>77</v>
      </c>
      <c r="AE69" s="77" t="s">
        <v>77</v>
      </c>
    </row>
    <row r="70" spans="1:31" x14ac:dyDescent="0.2">
      <c r="A70" s="76" t="s">
        <v>259</v>
      </c>
      <c r="B70" s="76" t="s">
        <v>64</v>
      </c>
      <c r="C70" s="76" t="s">
        <v>65</v>
      </c>
      <c r="D70" s="76" t="s">
        <v>260</v>
      </c>
      <c r="E70" s="74" t="s">
        <v>261</v>
      </c>
      <c r="F70" s="75">
        <v>46037</v>
      </c>
      <c r="G70" s="77">
        <v>46067</v>
      </c>
      <c r="H70" s="76" t="s">
        <v>68</v>
      </c>
      <c r="I70" s="76" t="s">
        <v>69</v>
      </c>
      <c r="J70" s="76" t="s">
        <v>262</v>
      </c>
      <c r="K70" s="76" t="s">
        <v>71</v>
      </c>
      <c r="L70" s="76" t="s">
        <v>296</v>
      </c>
      <c r="M70" s="76" t="s">
        <v>203</v>
      </c>
      <c r="N70" s="76" t="s">
        <v>88</v>
      </c>
      <c r="O70" s="76" t="s">
        <v>297</v>
      </c>
      <c r="P70" s="76">
        <v>1</v>
      </c>
      <c r="Q70" s="76">
        <v>1</v>
      </c>
      <c r="R70" s="76">
        <v>0</v>
      </c>
      <c r="S70" s="76" t="s">
        <v>76</v>
      </c>
      <c r="T70" s="76" t="s">
        <v>76</v>
      </c>
      <c r="U70" s="76" t="s">
        <v>76</v>
      </c>
      <c r="V70" s="76">
        <v>21213096</v>
      </c>
      <c r="W70" s="76" t="s">
        <v>259</v>
      </c>
      <c r="X70" s="76" t="s">
        <v>78</v>
      </c>
      <c r="Y70" s="76">
        <v>10</v>
      </c>
      <c r="Z70" s="76" t="s">
        <v>298</v>
      </c>
      <c r="AA70" s="76" t="s">
        <v>80</v>
      </c>
      <c r="AB70" s="76">
        <v>1</v>
      </c>
      <c r="AC70" s="76" t="s">
        <v>80</v>
      </c>
      <c r="AD70" s="77" t="s">
        <v>77</v>
      </c>
      <c r="AE70" s="77" t="s">
        <v>77</v>
      </c>
    </row>
    <row r="71" spans="1:31" x14ac:dyDescent="0.2">
      <c r="A71" s="76" t="s">
        <v>259</v>
      </c>
      <c r="B71" s="76" t="s">
        <v>64</v>
      </c>
      <c r="C71" s="76" t="s">
        <v>65</v>
      </c>
      <c r="D71" s="76" t="s">
        <v>260</v>
      </c>
      <c r="E71" s="74" t="s">
        <v>261</v>
      </c>
      <c r="F71" s="75">
        <v>46037</v>
      </c>
      <c r="G71" s="77">
        <v>46067</v>
      </c>
      <c r="H71" s="76" t="s">
        <v>68</v>
      </c>
      <c r="I71" s="76" t="s">
        <v>69</v>
      </c>
      <c r="J71" s="76" t="s">
        <v>262</v>
      </c>
      <c r="K71" s="76" t="s">
        <v>71</v>
      </c>
      <c r="L71" s="76" t="s">
        <v>113</v>
      </c>
      <c r="M71" s="76" t="s">
        <v>73</v>
      </c>
      <c r="N71" s="76" t="s">
        <v>74</v>
      </c>
      <c r="O71" s="76" t="s">
        <v>114</v>
      </c>
      <c r="P71" s="76">
        <v>1</v>
      </c>
      <c r="Q71" s="76">
        <v>0</v>
      </c>
      <c r="R71" s="76">
        <v>1</v>
      </c>
      <c r="S71" s="76" t="s">
        <v>472</v>
      </c>
      <c r="T71" s="76" t="s">
        <v>76</v>
      </c>
      <c r="U71" s="76" t="s">
        <v>76</v>
      </c>
      <c r="V71" s="76">
        <v>21213096</v>
      </c>
      <c r="W71" s="76" t="s">
        <v>259</v>
      </c>
      <c r="X71" s="76" t="s">
        <v>78</v>
      </c>
      <c r="Y71" s="76">
        <v>11</v>
      </c>
      <c r="Z71" s="76" t="s">
        <v>116</v>
      </c>
      <c r="AA71" s="76" t="s">
        <v>80</v>
      </c>
      <c r="AB71" s="76">
        <v>1</v>
      </c>
      <c r="AC71" s="76" t="s">
        <v>80</v>
      </c>
      <c r="AD71" s="77" t="s">
        <v>77</v>
      </c>
      <c r="AE71" s="77" t="s">
        <v>77</v>
      </c>
    </row>
    <row r="72" spans="1:31" x14ac:dyDescent="0.2">
      <c r="A72" s="76" t="s">
        <v>259</v>
      </c>
      <c r="B72" s="76" t="s">
        <v>64</v>
      </c>
      <c r="C72" s="76" t="s">
        <v>65</v>
      </c>
      <c r="D72" s="76" t="s">
        <v>260</v>
      </c>
      <c r="E72" s="74" t="s">
        <v>261</v>
      </c>
      <c r="F72" s="75">
        <v>46037</v>
      </c>
      <c r="G72" s="77">
        <v>46067</v>
      </c>
      <c r="H72" s="76" t="s">
        <v>68</v>
      </c>
      <c r="I72" s="76" t="s">
        <v>69</v>
      </c>
      <c r="J72" s="76" t="s">
        <v>262</v>
      </c>
      <c r="K72" s="76" t="s">
        <v>71</v>
      </c>
      <c r="L72" s="76" t="s">
        <v>299</v>
      </c>
      <c r="M72" s="76" t="s">
        <v>300</v>
      </c>
      <c r="N72" s="76" t="s">
        <v>301</v>
      </c>
      <c r="O72" s="76" t="s">
        <v>302</v>
      </c>
      <c r="P72" s="76">
        <v>1</v>
      </c>
      <c r="Q72" s="76">
        <v>1</v>
      </c>
      <c r="R72" s="76">
        <v>0</v>
      </c>
      <c r="S72" s="76" t="s">
        <v>76</v>
      </c>
      <c r="T72" s="76" t="s">
        <v>76</v>
      </c>
      <c r="U72" s="76" t="s">
        <v>76</v>
      </c>
      <c r="V72" s="76">
        <v>21213096</v>
      </c>
      <c r="W72" s="76" t="s">
        <v>259</v>
      </c>
      <c r="X72" s="76" t="s">
        <v>78</v>
      </c>
      <c r="Y72" s="76">
        <v>12</v>
      </c>
      <c r="Z72" s="76" t="s">
        <v>303</v>
      </c>
      <c r="AA72" s="76" t="s">
        <v>80</v>
      </c>
      <c r="AB72" s="76">
        <v>1</v>
      </c>
      <c r="AC72" s="76" t="s">
        <v>80</v>
      </c>
      <c r="AD72" s="77" t="s">
        <v>77</v>
      </c>
      <c r="AE72" s="77" t="s">
        <v>77</v>
      </c>
    </row>
    <row r="73" spans="1:31" x14ac:dyDescent="0.2">
      <c r="A73" s="76" t="s">
        <v>259</v>
      </c>
      <c r="B73" s="76" t="s">
        <v>64</v>
      </c>
      <c r="C73" s="76" t="s">
        <v>65</v>
      </c>
      <c r="D73" s="76" t="s">
        <v>260</v>
      </c>
      <c r="E73" s="74" t="s">
        <v>261</v>
      </c>
      <c r="F73" s="75">
        <v>46037</v>
      </c>
      <c r="G73" s="77">
        <v>46067</v>
      </c>
      <c r="H73" s="76" t="s">
        <v>68</v>
      </c>
      <c r="I73" s="76" t="s">
        <v>69</v>
      </c>
      <c r="J73" s="76" t="s">
        <v>262</v>
      </c>
      <c r="K73" s="76" t="s">
        <v>71</v>
      </c>
      <c r="L73" s="76" t="s">
        <v>304</v>
      </c>
      <c r="M73" s="76" t="s">
        <v>156</v>
      </c>
      <c r="N73" s="76" t="s">
        <v>74</v>
      </c>
      <c r="O73" s="76" t="s">
        <v>305</v>
      </c>
      <c r="P73" s="76">
        <v>1</v>
      </c>
      <c r="Q73" s="76">
        <v>0</v>
      </c>
      <c r="R73" s="76">
        <v>1</v>
      </c>
      <c r="S73" s="76" t="s">
        <v>476</v>
      </c>
      <c r="T73" s="76" t="s">
        <v>76</v>
      </c>
      <c r="U73" s="76" t="s">
        <v>76</v>
      </c>
      <c r="V73" s="76">
        <v>21213096</v>
      </c>
      <c r="W73" s="76" t="s">
        <v>259</v>
      </c>
      <c r="X73" s="76" t="s">
        <v>78</v>
      </c>
      <c r="Y73" s="76">
        <v>13</v>
      </c>
      <c r="Z73" s="76" t="s">
        <v>306</v>
      </c>
      <c r="AA73" s="76" t="s">
        <v>80</v>
      </c>
      <c r="AB73" s="76">
        <v>1</v>
      </c>
      <c r="AC73" s="76" t="s">
        <v>80</v>
      </c>
      <c r="AD73" s="77" t="s">
        <v>77</v>
      </c>
      <c r="AE73" s="77" t="s">
        <v>77</v>
      </c>
    </row>
    <row r="74" spans="1:31" x14ac:dyDescent="0.2">
      <c r="A74" s="76" t="s">
        <v>259</v>
      </c>
      <c r="B74" s="76" t="s">
        <v>64</v>
      </c>
      <c r="C74" s="76" t="s">
        <v>65</v>
      </c>
      <c r="D74" s="76" t="s">
        <v>260</v>
      </c>
      <c r="E74" s="74" t="s">
        <v>261</v>
      </c>
      <c r="F74" s="75">
        <v>46037</v>
      </c>
      <c r="G74" s="77">
        <v>46067</v>
      </c>
      <c r="H74" s="76" t="s">
        <v>68</v>
      </c>
      <c r="I74" s="76" t="s">
        <v>69</v>
      </c>
      <c r="J74" s="76" t="s">
        <v>262</v>
      </c>
      <c r="K74" s="76" t="s">
        <v>71</v>
      </c>
      <c r="L74" s="76" t="s">
        <v>307</v>
      </c>
      <c r="M74" s="76" t="s">
        <v>156</v>
      </c>
      <c r="N74" s="76" t="s">
        <v>74</v>
      </c>
      <c r="O74" s="76" t="s">
        <v>308</v>
      </c>
      <c r="P74" s="76">
        <v>1</v>
      </c>
      <c r="Q74" s="76">
        <v>1</v>
      </c>
      <c r="R74" s="76">
        <v>0</v>
      </c>
      <c r="S74" s="76" t="s">
        <v>76</v>
      </c>
      <c r="T74" s="76" t="s">
        <v>76</v>
      </c>
      <c r="U74" s="76" t="s">
        <v>76</v>
      </c>
      <c r="V74" s="76">
        <v>21213096</v>
      </c>
      <c r="W74" s="76" t="s">
        <v>259</v>
      </c>
      <c r="X74" s="76" t="s">
        <v>78</v>
      </c>
      <c r="Y74" s="76">
        <v>14</v>
      </c>
      <c r="Z74" s="76" t="s">
        <v>309</v>
      </c>
      <c r="AA74" s="76" t="s">
        <v>80</v>
      </c>
      <c r="AB74" s="76">
        <v>1</v>
      </c>
      <c r="AC74" s="76" t="s">
        <v>80</v>
      </c>
      <c r="AD74" s="77" t="s">
        <v>77</v>
      </c>
      <c r="AE74" s="77" t="s">
        <v>77</v>
      </c>
    </row>
    <row r="75" spans="1:31" x14ac:dyDescent="0.2">
      <c r="A75" s="76" t="s">
        <v>259</v>
      </c>
      <c r="B75" s="76" t="s">
        <v>64</v>
      </c>
      <c r="C75" s="76" t="s">
        <v>65</v>
      </c>
      <c r="D75" s="76" t="s">
        <v>260</v>
      </c>
      <c r="E75" s="74" t="s">
        <v>261</v>
      </c>
      <c r="F75" s="75">
        <v>46037</v>
      </c>
      <c r="G75" s="77">
        <v>46067</v>
      </c>
      <c r="H75" s="76" t="s">
        <v>68</v>
      </c>
      <c r="I75" s="76" t="s">
        <v>69</v>
      </c>
      <c r="J75" s="76" t="s">
        <v>262</v>
      </c>
      <c r="K75" s="76" t="s">
        <v>71</v>
      </c>
      <c r="L75" s="76" t="s">
        <v>310</v>
      </c>
      <c r="M75" s="76" t="s">
        <v>104</v>
      </c>
      <c r="N75" s="76" t="s">
        <v>105</v>
      </c>
      <c r="O75" s="76" t="s">
        <v>311</v>
      </c>
      <c r="P75" s="76">
        <v>1</v>
      </c>
      <c r="Q75" s="76">
        <v>1</v>
      </c>
      <c r="R75" s="76">
        <v>0</v>
      </c>
      <c r="S75" s="76" t="s">
        <v>76</v>
      </c>
      <c r="T75" s="76" t="s">
        <v>76</v>
      </c>
      <c r="U75" s="76" t="s">
        <v>76</v>
      </c>
      <c r="V75" s="76">
        <v>21213096</v>
      </c>
      <c r="W75" s="76" t="s">
        <v>259</v>
      </c>
      <c r="X75" s="76" t="s">
        <v>78</v>
      </c>
      <c r="Y75" s="76">
        <v>15</v>
      </c>
      <c r="Z75" s="76" t="s">
        <v>312</v>
      </c>
      <c r="AA75" s="76" t="s">
        <v>80</v>
      </c>
      <c r="AB75" s="76">
        <v>1</v>
      </c>
      <c r="AC75" s="76" t="s">
        <v>80</v>
      </c>
      <c r="AD75" s="77" t="s">
        <v>77</v>
      </c>
      <c r="AE75" s="77" t="s">
        <v>77</v>
      </c>
    </row>
    <row r="76" spans="1:31" x14ac:dyDescent="0.2">
      <c r="A76" s="76" t="s">
        <v>259</v>
      </c>
      <c r="B76" s="76" t="s">
        <v>64</v>
      </c>
      <c r="C76" s="76" t="s">
        <v>65</v>
      </c>
      <c r="D76" s="76" t="s">
        <v>260</v>
      </c>
      <c r="E76" s="74" t="s">
        <v>261</v>
      </c>
      <c r="F76" s="75">
        <v>46037</v>
      </c>
      <c r="G76" s="77">
        <v>46067</v>
      </c>
      <c r="H76" s="76" t="s">
        <v>68</v>
      </c>
      <c r="I76" s="76" t="s">
        <v>69</v>
      </c>
      <c r="J76" s="76" t="s">
        <v>262</v>
      </c>
      <c r="K76" s="76" t="s">
        <v>71</v>
      </c>
      <c r="L76" s="76" t="s">
        <v>313</v>
      </c>
      <c r="M76" s="76" t="s">
        <v>217</v>
      </c>
      <c r="N76" s="76" t="s">
        <v>218</v>
      </c>
      <c r="O76" s="76" t="s">
        <v>314</v>
      </c>
      <c r="P76" s="76">
        <v>1</v>
      </c>
      <c r="Q76" s="76">
        <v>1</v>
      </c>
      <c r="R76" s="76">
        <v>0</v>
      </c>
      <c r="S76" s="76" t="s">
        <v>76</v>
      </c>
      <c r="T76" s="76" t="s">
        <v>76</v>
      </c>
      <c r="U76" s="76" t="s">
        <v>76</v>
      </c>
      <c r="V76" s="76">
        <v>21213096</v>
      </c>
      <c r="W76" s="76" t="s">
        <v>259</v>
      </c>
      <c r="X76" s="76" t="s">
        <v>78</v>
      </c>
      <c r="Y76" s="76">
        <v>16</v>
      </c>
      <c r="Z76" s="76" t="s">
        <v>315</v>
      </c>
      <c r="AA76" s="76" t="s">
        <v>80</v>
      </c>
      <c r="AB76" s="76">
        <v>1</v>
      </c>
      <c r="AC76" s="76" t="s">
        <v>80</v>
      </c>
      <c r="AD76" s="77" t="s">
        <v>77</v>
      </c>
      <c r="AE76" s="77" t="s">
        <v>77</v>
      </c>
    </row>
    <row r="77" spans="1:31" x14ac:dyDescent="0.2">
      <c r="A77" s="76" t="s">
        <v>259</v>
      </c>
      <c r="B77" s="76" t="s">
        <v>64</v>
      </c>
      <c r="C77" s="76" t="s">
        <v>65</v>
      </c>
      <c r="D77" s="76" t="s">
        <v>260</v>
      </c>
      <c r="E77" s="74" t="s">
        <v>261</v>
      </c>
      <c r="F77" s="75">
        <v>46037</v>
      </c>
      <c r="G77" s="77">
        <v>46067</v>
      </c>
      <c r="H77" s="76" t="s">
        <v>68</v>
      </c>
      <c r="I77" s="76" t="s">
        <v>69</v>
      </c>
      <c r="J77" s="76" t="s">
        <v>262</v>
      </c>
      <c r="K77" s="76" t="s">
        <v>71</v>
      </c>
      <c r="L77" s="76" t="s">
        <v>316</v>
      </c>
      <c r="M77" s="76" t="s">
        <v>217</v>
      </c>
      <c r="N77" s="76" t="s">
        <v>218</v>
      </c>
      <c r="O77" s="76" t="s">
        <v>317</v>
      </c>
      <c r="P77" s="76">
        <v>1</v>
      </c>
      <c r="Q77" s="76">
        <v>1</v>
      </c>
      <c r="R77" s="76">
        <v>0</v>
      </c>
      <c r="S77" s="76" t="s">
        <v>76</v>
      </c>
      <c r="T77" s="76" t="s">
        <v>76</v>
      </c>
      <c r="U77" s="76" t="s">
        <v>76</v>
      </c>
      <c r="V77" s="76">
        <v>21213096</v>
      </c>
      <c r="W77" s="76" t="s">
        <v>259</v>
      </c>
      <c r="X77" s="76" t="s">
        <v>78</v>
      </c>
      <c r="Y77" s="76">
        <v>17</v>
      </c>
      <c r="Z77" s="76" t="s">
        <v>318</v>
      </c>
      <c r="AA77" s="76" t="s">
        <v>80</v>
      </c>
      <c r="AB77" s="76">
        <v>1</v>
      </c>
      <c r="AC77" s="76" t="s">
        <v>80</v>
      </c>
      <c r="AD77" s="77" t="s">
        <v>77</v>
      </c>
      <c r="AE77" s="77" t="s">
        <v>77</v>
      </c>
    </row>
    <row r="78" spans="1:31" x14ac:dyDescent="0.2">
      <c r="A78" s="76" t="s">
        <v>259</v>
      </c>
      <c r="B78" s="76" t="s">
        <v>64</v>
      </c>
      <c r="C78" s="76" t="s">
        <v>65</v>
      </c>
      <c r="D78" s="76" t="s">
        <v>260</v>
      </c>
      <c r="E78" s="74" t="s">
        <v>261</v>
      </c>
      <c r="F78" s="75">
        <v>46037</v>
      </c>
      <c r="G78" s="77">
        <v>46067</v>
      </c>
      <c r="H78" s="76" t="s">
        <v>68</v>
      </c>
      <c r="I78" s="76" t="s">
        <v>69</v>
      </c>
      <c r="J78" s="76" t="s">
        <v>262</v>
      </c>
      <c r="K78" s="76" t="s">
        <v>71</v>
      </c>
      <c r="L78" s="76" t="s">
        <v>319</v>
      </c>
      <c r="M78" s="76" t="s">
        <v>222</v>
      </c>
      <c r="N78" s="76" t="s">
        <v>223</v>
      </c>
      <c r="O78" s="76" t="s">
        <v>320</v>
      </c>
      <c r="P78" s="76">
        <v>1</v>
      </c>
      <c r="Q78" s="76">
        <v>1</v>
      </c>
      <c r="R78" s="76">
        <v>0</v>
      </c>
      <c r="S78" s="76" t="s">
        <v>76</v>
      </c>
      <c r="T78" s="76" t="s">
        <v>76</v>
      </c>
      <c r="U78" s="76" t="s">
        <v>76</v>
      </c>
      <c r="V78" s="76">
        <v>21213096</v>
      </c>
      <c r="W78" s="76" t="s">
        <v>259</v>
      </c>
      <c r="X78" s="76" t="s">
        <v>78</v>
      </c>
      <c r="Y78" s="76">
        <v>18</v>
      </c>
      <c r="Z78" s="76" t="s">
        <v>321</v>
      </c>
      <c r="AA78" s="76" t="s">
        <v>80</v>
      </c>
      <c r="AB78" s="76">
        <v>1</v>
      </c>
      <c r="AC78" s="76" t="s">
        <v>80</v>
      </c>
      <c r="AD78" s="77" t="s">
        <v>77</v>
      </c>
      <c r="AE78" s="77" t="s">
        <v>77</v>
      </c>
    </row>
    <row r="79" spans="1:31" x14ac:dyDescent="0.2">
      <c r="A79" s="76" t="s">
        <v>259</v>
      </c>
      <c r="B79" s="76" t="s">
        <v>64</v>
      </c>
      <c r="C79" s="76" t="s">
        <v>65</v>
      </c>
      <c r="D79" s="76" t="s">
        <v>260</v>
      </c>
      <c r="E79" s="74" t="s">
        <v>261</v>
      </c>
      <c r="F79" s="75">
        <v>46037</v>
      </c>
      <c r="G79" s="77">
        <v>46067</v>
      </c>
      <c r="H79" s="76" t="s">
        <v>68</v>
      </c>
      <c r="I79" s="76" t="s">
        <v>69</v>
      </c>
      <c r="J79" s="76" t="s">
        <v>262</v>
      </c>
      <c r="K79" s="76" t="s">
        <v>71</v>
      </c>
      <c r="L79" s="76" t="s">
        <v>322</v>
      </c>
      <c r="M79" s="76" t="s">
        <v>323</v>
      </c>
      <c r="N79" s="76" t="s">
        <v>74</v>
      </c>
      <c r="O79" s="76" t="s">
        <v>324</v>
      </c>
      <c r="P79" s="76">
        <v>1</v>
      </c>
      <c r="Q79" s="76">
        <v>1</v>
      </c>
      <c r="R79" s="76">
        <v>0</v>
      </c>
      <c r="S79" s="76" t="s">
        <v>76</v>
      </c>
      <c r="T79" s="76" t="s">
        <v>76</v>
      </c>
      <c r="U79" s="76" t="s">
        <v>76</v>
      </c>
      <c r="V79" s="76">
        <v>21213096</v>
      </c>
      <c r="W79" s="76" t="s">
        <v>259</v>
      </c>
      <c r="X79" s="76" t="s">
        <v>78</v>
      </c>
      <c r="Y79" s="76">
        <v>19</v>
      </c>
      <c r="Z79" s="76" t="s">
        <v>325</v>
      </c>
      <c r="AA79" s="76" t="s">
        <v>80</v>
      </c>
      <c r="AB79" s="76">
        <v>1</v>
      </c>
      <c r="AC79" s="76" t="s">
        <v>80</v>
      </c>
      <c r="AD79" s="77" t="s">
        <v>77</v>
      </c>
      <c r="AE79" s="77" t="s">
        <v>77</v>
      </c>
    </row>
    <row r="80" spans="1:31" x14ac:dyDescent="0.2">
      <c r="A80" s="76" t="s">
        <v>259</v>
      </c>
      <c r="B80" s="76" t="s">
        <v>64</v>
      </c>
      <c r="C80" s="76" t="s">
        <v>65</v>
      </c>
      <c r="D80" s="76" t="s">
        <v>260</v>
      </c>
      <c r="E80" s="74" t="s">
        <v>261</v>
      </c>
      <c r="F80" s="75">
        <v>46037</v>
      </c>
      <c r="G80" s="77">
        <v>46067</v>
      </c>
      <c r="H80" s="76" t="s">
        <v>68</v>
      </c>
      <c r="I80" s="76" t="s">
        <v>69</v>
      </c>
      <c r="J80" s="76" t="s">
        <v>262</v>
      </c>
      <c r="K80" s="76" t="s">
        <v>71</v>
      </c>
      <c r="L80" s="76" t="s">
        <v>326</v>
      </c>
      <c r="M80" s="76" t="s">
        <v>323</v>
      </c>
      <c r="N80" s="76" t="s">
        <v>74</v>
      </c>
      <c r="O80" s="76" t="s">
        <v>327</v>
      </c>
      <c r="P80" s="76">
        <v>1</v>
      </c>
      <c r="Q80" s="76">
        <v>1</v>
      </c>
      <c r="R80" s="76">
        <v>0</v>
      </c>
      <c r="S80" s="76" t="s">
        <v>76</v>
      </c>
      <c r="T80" s="76" t="s">
        <v>76</v>
      </c>
      <c r="U80" s="76" t="s">
        <v>76</v>
      </c>
      <c r="V80" s="76">
        <v>21213096</v>
      </c>
      <c r="W80" s="76" t="s">
        <v>259</v>
      </c>
      <c r="X80" s="76" t="s">
        <v>78</v>
      </c>
      <c r="Y80" s="76">
        <v>20</v>
      </c>
      <c r="Z80" s="76" t="s">
        <v>328</v>
      </c>
      <c r="AA80" s="76" t="s">
        <v>80</v>
      </c>
      <c r="AB80" s="76">
        <v>1</v>
      </c>
      <c r="AC80" s="76" t="s">
        <v>80</v>
      </c>
      <c r="AD80" s="77" t="s">
        <v>77</v>
      </c>
      <c r="AE80" s="77" t="s">
        <v>77</v>
      </c>
    </row>
    <row r="81" spans="1:31" x14ac:dyDescent="0.2">
      <c r="A81" s="76" t="s">
        <v>259</v>
      </c>
      <c r="B81" s="76" t="s">
        <v>64</v>
      </c>
      <c r="C81" s="76" t="s">
        <v>65</v>
      </c>
      <c r="D81" s="76" t="s">
        <v>260</v>
      </c>
      <c r="E81" s="74" t="s">
        <v>261</v>
      </c>
      <c r="F81" s="75">
        <v>46037</v>
      </c>
      <c r="G81" s="77">
        <v>46067</v>
      </c>
      <c r="H81" s="76" t="s">
        <v>68</v>
      </c>
      <c r="I81" s="76" t="s">
        <v>69</v>
      </c>
      <c r="J81" s="76" t="s">
        <v>262</v>
      </c>
      <c r="K81" s="76" t="s">
        <v>71</v>
      </c>
      <c r="L81" s="76" t="s">
        <v>329</v>
      </c>
      <c r="M81" s="76" t="s">
        <v>227</v>
      </c>
      <c r="N81" s="76" t="s">
        <v>228</v>
      </c>
      <c r="O81" s="76" t="s">
        <v>330</v>
      </c>
      <c r="P81" s="76">
        <v>1</v>
      </c>
      <c r="Q81" s="76">
        <v>1</v>
      </c>
      <c r="R81" s="76">
        <v>0</v>
      </c>
      <c r="S81" s="76" t="s">
        <v>76</v>
      </c>
      <c r="T81" s="76" t="s">
        <v>76</v>
      </c>
      <c r="U81" s="76" t="s">
        <v>76</v>
      </c>
      <c r="V81" s="76">
        <v>21213096</v>
      </c>
      <c r="W81" s="76" t="s">
        <v>259</v>
      </c>
      <c r="X81" s="76" t="s">
        <v>78</v>
      </c>
      <c r="Y81" s="76">
        <v>21</v>
      </c>
      <c r="Z81" s="76" t="s">
        <v>331</v>
      </c>
      <c r="AA81" s="76" t="s">
        <v>80</v>
      </c>
      <c r="AB81" s="76">
        <v>1</v>
      </c>
      <c r="AC81" s="76" t="s">
        <v>80</v>
      </c>
      <c r="AD81" s="77" t="s">
        <v>77</v>
      </c>
      <c r="AE81" s="77" t="s">
        <v>77</v>
      </c>
    </row>
    <row r="82" spans="1:31" x14ac:dyDescent="0.2">
      <c r="A82" s="76" t="s">
        <v>259</v>
      </c>
      <c r="B82" s="76" t="s">
        <v>64</v>
      </c>
      <c r="C82" s="76" t="s">
        <v>65</v>
      </c>
      <c r="D82" s="76" t="s">
        <v>260</v>
      </c>
      <c r="E82" s="74" t="s">
        <v>261</v>
      </c>
      <c r="F82" s="75">
        <v>46037</v>
      </c>
      <c r="G82" s="77">
        <v>46067</v>
      </c>
      <c r="H82" s="76" t="s">
        <v>68</v>
      </c>
      <c r="I82" s="76" t="s">
        <v>69</v>
      </c>
      <c r="J82" s="76" t="s">
        <v>262</v>
      </c>
      <c r="K82" s="76" t="s">
        <v>71</v>
      </c>
      <c r="L82" s="76" t="s">
        <v>332</v>
      </c>
      <c r="M82" s="76" t="s">
        <v>333</v>
      </c>
      <c r="N82" s="76" t="s">
        <v>251</v>
      </c>
      <c r="O82" s="76" t="s">
        <v>334</v>
      </c>
      <c r="P82" s="76">
        <v>1</v>
      </c>
      <c r="Q82" s="76">
        <v>1</v>
      </c>
      <c r="R82" s="76">
        <v>0</v>
      </c>
      <c r="S82" s="76" t="s">
        <v>76</v>
      </c>
      <c r="T82" s="76" t="s">
        <v>76</v>
      </c>
      <c r="U82" s="76" t="s">
        <v>76</v>
      </c>
      <c r="V82" s="76">
        <v>21213096</v>
      </c>
      <c r="W82" s="76" t="s">
        <v>259</v>
      </c>
      <c r="X82" s="76" t="s">
        <v>78</v>
      </c>
      <c r="Y82" s="76">
        <v>22</v>
      </c>
      <c r="Z82" s="76" t="s">
        <v>335</v>
      </c>
      <c r="AA82" s="76" t="s">
        <v>80</v>
      </c>
      <c r="AB82" s="76">
        <v>1</v>
      </c>
      <c r="AC82" s="76" t="s">
        <v>80</v>
      </c>
      <c r="AD82" s="77" t="s">
        <v>77</v>
      </c>
      <c r="AE82" s="77" t="s">
        <v>77</v>
      </c>
    </row>
    <row r="83" spans="1:31" x14ac:dyDescent="0.2">
      <c r="A83" s="76" t="s">
        <v>259</v>
      </c>
      <c r="B83" s="76" t="s">
        <v>64</v>
      </c>
      <c r="C83" s="76" t="s">
        <v>65</v>
      </c>
      <c r="D83" s="76" t="s">
        <v>260</v>
      </c>
      <c r="E83" s="74" t="s">
        <v>261</v>
      </c>
      <c r="F83" s="75">
        <v>46037</v>
      </c>
      <c r="G83" s="77">
        <v>46067</v>
      </c>
      <c r="H83" s="76" t="s">
        <v>68</v>
      </c>
      <c r="I83" s="76" t="s">
        <v>69</v>
      </c>
      <c r="J83" s="76" t="s">
        <v>262</v>
      </c>
      <c r="K83" s="76" t="s">
        <v>71</v>
      </c>
      <c r="L83" s="76" t="s">
        <v>336</v>
      </c>
      <c r="M83" s="76" t="s">
        <v>337</v>
      </c>
      <c r="N83" s="76" t="s">
        <v>338</v>
      </c>
      <c r="O83" s="76" t="s">
        <v>339</v>
      </c>
      <c r="P83" s="76">
        <v>1</v>
      </c>
      <c r="Q83" s="76">
        <v>1</v>
      </c>
      <c r="R83" s="76">
        <v>0</v>
      </c>
      <c r="S83" s="76" t="s">
        <v>76</v>
      </c>
      <c r="T83" s="76" t="s">
        <v>76</v>
      </c>
      <c r="U83" s="76" t="s">
        <v>76</v>
      </c>
      <c r="V83" s="76">
        <v>21213096</v>
      </c>
      <c r="W83" s="76" t="s">
        <v>259</v>
      </c>
      <c r="X83" s="76" t="s">
        <v>78</v>
      </c>
      <c r="Y83" s="76">
        <v>23</v>
      </c>
      <c r="Z83" s="76" t="s">
        <v>340</v>
      </c>
      <c r="AA83" s="76" t="s">
        <v>80</v>
      </c>
      <c r="AB83" s="76">
        <v>1</v>
      </c>
      <c r="AC83" s="76" t="s">
        <v>80</v>
      </c>
      <c r="AD83" s="77" t="s">
        <v>77</v>
      </c>
      <c r="AE83" s="77" t="s">
        <v>77</v>
      </c>
    </row>
    <row r="84" spans="1:31" x14ac:dyDescent="0.2">
      <c r="A84" s="76" t="s">
        <v>259</v>
      </c>
      <c r="B84" s="76" t="s">
        <v>64</v>
      </c>
      <c r="C84" s="76" t="s">
        <v>65</v>
      </c>
      <c r="D84" s="76" t="s">
        <v>260</v>
      </c>
      <c r="E84" s="74" t="s">
        <v>261</v>
      </c>
      <c r="F84" s="75">
        <v>46037</v>
      </c>
      <c r="G84" s="77">
        <v>46067</v>
      </c>
      <c r="H84" s="76" t="s">
        <v>68</v>
      </c>
      <c r="I84" s="76" t="s">
        <v>69</v>
      </c>
      <c r="J84" s="76" t="s">
        <v>262</v>
      </c>
      <c r="K84" s="76" t="s">
        <v>71</v>
      </c>
      <c r="L84" s="76" t="s">
        <v>341</v>
      </c>
      <c r="M84" s="76" t="s">
        <v>337</v>
      </c>
      <c r="N84" s="76" t="s">
        <v>338</v>
      </c>
      <c r="O84" s="76" t="s">
        <v>342</v>
      </c>
      <c r="P84" s="76">
        <v>1</v>
      </c>
      <c r="Q84" s="76">
        <v>1</v>
      </c>
      <c r="R84" s="76">
        <v>0</v>
      </c>
      <c r="S84" s="76" t="s">
        <v>76</v>
      </c>
      <c r="T84" s="76" t="s">
        <v>76</v>
      </c>
      <c r="U84" s="76" t="s">
        <v>76</v>
      </c>
      <c r="V84" s="76">
        <v>21213096</v>
      </c>
      <c r="W84" s="76" t="s">
        <v>259</v>
      </c>
      <c r="X84" s="76" t="s">
        <v>78</v>
      </c>
      <c r="Y84" s="76">
        <v>24</v>
      </c>
      <c r="Z84" s="76" t="s">
        <v>343</v>
      </c>
      <c r="AA84" s="76" t="s">
        <v>80</v>
      </c>
      <c r="AB84" s="76">
        <v>1</v>
      </c>
      <c r="AC84" s="76" t="s">
        <v>80</v>
      </c>
      <c r="AD84" s="77" t="s">
        <v>77</v>
      </c>
      <c r="AE84" s="77" t="s">
        <v>77</v>
      </c>
    </row>
    <row r="85" spans="1:31" x14ac:dyDescent="0.2">
      <c r="A85" s="76" t="s">
        <v>259</v>
      </c>
      <c r="B85" s="76" t="s">
        <v>64</v>
      </c>
      <c r="C85" s="76" t="s">
        <v>65</v>
      </c>
      <c r="D85" s="76" t="s">
        <v>260</v>
      </c>
      <c r="E85" s="74" t="s">
        <v>261</v>
      </c>
      <c r="F85" s="75">
        <v>46037</v>
      </c>
      <c r="G85" s="77">
        <v>46067</v>
      </c>
      <c r="H85" s="76" t="s">
        <v>68</v>
      </c>
      <c r="I85" s="76" t="s">
        <v>69</v>
      </c>
      <c r="J85" s="76" t="s">
        <v>262</v>
      </c>
      <c r="K85" s="76" t="s">
        <v>71</v>
      </c>
      <c r="L85" s="76" t="s">
        <v>344</v>
      </c>
      <c r="M85" s="76" t="s">
        <v>232</v>
      </c>
      <c r="N85" s="76" t="s">
        <v>233</v>
      </c>
      <c r="O85" s="76" t="s">
        <v>345</v>
      </c>
      <c r="P85" s="76">
        <v>1</v>
      </c>
      <c r="Q85" s="76">
        <v>1</v>
      </c>
      <c r="R85" s="76">
        <v>0</v>
      </c>
      <c r="S85" s="76" t="s">
        <v>76</v>
      </c>
      <c r="T85" s="76" t="s">
        <v>76</v>
      </c>
      <c r="U85" s="76" t="s">
        <v>76</v>
      </c>
      <c r="V85" s="76">
        <v>21213096</v>
      </c>
      <c r="W85" s="76" t="s">
        <v>259</v>
      </c>
      <c r="X85" s="76" t="s">
        <v>78</v>
      </c>
      <c r="Y85" s="76">
        <v>25</v>
      </c>
      <c r="Z85" s="76" t="s">
        <v>346</v>
      </c>
      <c r="AA85" s="76" t="s">
        <v>80</v>
      </c>
      <c r="AB85" s="76">
        <v>1</v>
      </c>
      <c r="AC85" s="76" t="s">
        <v>80</v>
      </c>
      <c r="AD85" s="77" t="s">
        <v>77</v>
      </c>
      <c r="AE85" s="77" t="s">
        <v>77</v>
      </c>
    </row>
    <row r="86" spans="1:31" x14ac:dyDescent="0.2">
      <c r="A86" s="76" t="s">
        <v>259</v>
      </c>
      <c r="B86" s="76" t="s">
        <v>64</v>
      </c>
      <c r="C86" s="76" t="s">
        <v>65</v>
      </c>
      <c r="D86" s="76" t="s">
        <v>260</v>
      </c>
      <c r="E86" s="74" t="s">
        <v>261</v>
      </c>
      <c r="F86" s="75">
        <v>46037</v>
      </c>
      <c r="G86" s="77">
        <v>46067</v>
      </c>
      <c r="H86" s="76" t="s">
        <v>68</v>
      </c>
      <c r="I86" s="76" t="s">
        <v>69</v>
      </c>
      <c r="J86" s="76" t="s">
        <v>262</v>
      </c>
      <c r="K86" s="76" t="s">
        <v>71</v>
      </c>
      <c r="L86" s="76" t="s">
        <v>347</v>
      </c>
      <c r="M86" s="76" t="s">
        <v>232</v>
      </c>
      <c r="N86" s="76" t="s">
        <v>233</v>
      </c>
      <c r="O86" s="76" t="s">
        <v>348</v>
      </c>
      <c r="P86" s="76">
        <v>1</v>
      </c>
      <c r="Q86" s="76">
        <v>1</v>
      </c>
      <c r="R86" s="76">
        <v>0</v>
      </c>
      <c r="S86" s="76" t="s">
        <v>76</v>
      </c>
      <c r="T86" s="76" t="s">
        <v>76</v>
      </c>
      <c r="U86" s="76" t="s">
        <v>76</v>
      </c>
      <c r="V86" s="76">
        <v>21213096</v>
      </c>
      <c r="W86" s="76" t="s">
        <v>259</v>
      </c>
      <c r="X86" s="76" t="s">
        <v>78</v>
      </c>
      <c r="Y86" s="76">
        <v>26</v>
      </c>
      <c r="Z86" s="76" t="s">
        <v>349</v>
      </c>
      <c r="AA86" s="76" t="s">
        <v>80</v>
      </c>
      <c r="AB86" s="76">
        <v>1</v>
      </c>
      <c r="AC86" s="76" t="s">
        <v>80</v>
      </c>
      <c r="AD86" s="77" t="s">
        <v>77</v>
      </c>
      <c r="AE86" s="77" t="s">
        <v>77</v>
      </c>
    </row>
    <row r="87" spans="1:31" x14ac:dyDescent="0.2">
      <c r="A87" s="76" t="s">
        <v>259</v>
      </c>
      <c r="B87" s="76" t="s">
        <v>64</v>
      </c>
      <c r="C87" s="76" t="s">
        <v>65</v>
      </c>
      <c r="D87" s="76" t="s">
        <v>260</v>
      </c>
      <c r="E87" s="74" t="s">
        <v>261</v>
      </c>
      <c r="F87" s="75">
        <v>46037</v>
      </c>
      <c r="G87" s="77">
        <v>46067</v>
      </c>
      <c r="H87" s="76" t="s">
        <v>68</v>
      </c>
      <c r="I87" s="76" t="s">
        <v>69</v>
      </c>
      <c r="J87" s="76" t="s">
        <v>262</v>
      </c>
      <c r="K87" s="76" t="s">
        <v>71</v>
      </c>
      <c r="L87" s="76" t="s">
        <v>350</v>
      </c>
      <c r="M87" s="76" t="s">
        <v>240</v>
      </c>
      <c r="N87" s="76" t="s">
        <v>241</v>
      </c>
      <c r="O87" s="76" t="s">
        <v>351</v>
      </c>
      <c r="P87" s="76">
        <v>1</v>
      </c>
      <c r="Q87" s="76">
        <v>1</v>
      </c>
      <c r="R87" s="76">
        <v>0</v>
      </c>
      <c r="S87" s="76" t="s">
        <v>76</v>
      </c>
      <c r="T87" s="76" t="s">
        <v>76</v>
      </c>
      <c r="U87" s="76" t="s">
        <v>76</v>
      </c>
      <c r="V87" s="76">
        <v>21213096</v>
      </c>
      <c r="W87" s="76" t="s">
        <v>259</v>
      </c>
      <c r="X87" s="76" t="s">
        <v>78</v>
      </c>
      <c r="Y87" s="76">
        <v>27</v>
      </c>
      <c r="Z87" s="76" t="s">
        <v>352</v>
      </c>
      <c r="AA87" s="76" t="s">
        <v>80</v>
      </c>
      <c r="AB87" s="76">
        <v>1</v>
      </c>
      <c r="AC87" s="76" t="s">
        <v>80</v>
      </c>
      <c r="AD87" s="77" t="s">
        <v>77</v>
      </c>
      <c r="AE87" s="77" t="s">
        <v>77</v>
      </c>
    </row>
    <row r="88" spans="1:31" x14ac:dyDescent="0.2">
      <c r="A88" s="76" t="s">
        <v>259</v>
      </c>
      <c r="B88" s="76" t="s">
        <v>64</v>
      </c>
      <c r="C88" s="76" t="s">
        <v>65</v>
      </c>
      <c r="D88" s="76" t="s">
        <v>260</v>
      </c>
      <c r="E88" s="74" t="s">
        <v>261</v>
      </c>
      <c r="F88" s="75">
        <v>46037</v>
      </c>
      <c r="G88" s="77">
        <v>46067</v>
      </c>
      <c r="H88" s="76" t="s">
        <v>68</v>
      </c>
      <c r="I88" s="76" t="s">
        <v>69</v>
      </c>
      <c r="J88" s="76" t="s">
        <v>262</v>
      </c>
      <c r="K88" s="76" t="s">
        <v>71</v>
      </c>
      <c r="L88" s="76" t="s">
        <v>353</v>
      </c>
      <c r="M88" s="76" t="s">
        <v>240</v>
      </c>
      <c r="N88" s="76" t="s">
        <v>241</v>
      </c>
      <c r="O88" s="76" t="s">
        <v>354</v>
      </c>
      <c r="P88" s="76">
        <v>1</v>
      </c>
      <c r="Q88" s="76">
        <v>1</v>
      </c>
      <c r="R88" s="76">
        <v>0</v>
      </c>
      <c r="S88" s="76" t="s">
        <v>76</v>
      </c>
      <c r="T88" s="76" t="s">
        <v>76</v>
      </c>
      <c r="U88" s="76" t="s">
        <v>76</v>
      </c>
      <c r="V88" s="76">
        <v>21213096</v>
      </c>
      <c r="W88" s="76" t="s">
        <v>259</v>
      </c>
      <c r="X88" s="76" t="s">
        <v>78</v>
      </c>
      <c r="Y88" s="76">
        <v>28</v>
      </c>
      <c r="Z88" s="76" t="s">
        <v>355</v>
      </c>
      <c r="AA88" s="76" t="s">
        <v>80</v>
      </c>
      <c r="AB88" s="76">
        <v>1</v>
      </c>
      <c r="AC88" s="76" t="s">
        <v>80</v>
      </c>
      <c r="AD88" s="77" t="s">
        <v>77</v>
      </c>
      <c r="AE88" s="77" t="s">
        <v>77</v>
      </c>
    </row>
    <row r="89" spans="1:31" x14ac:dyDescent="0.2">
      <c r="A89" s="76" t="s">
        <v>259</v>
      </c>
      <c r="B89" s="76" t="s">
        <v>64</v>
      </c>
      <c r="C89" s="76" t="s">
        <v>65</v>
      </c>
      <c r="D89" s="76" t="s">
        <v>260</v>
      </c>
      <c r="E89" s="74" t="s">
        <v>261</v>
      </c>
      <c r="F89" s="75">
        <v>46037</v>
      </c>
      <c r="G89" s="77">
        <v>46067</v>
      </c>
      <c r="H89" s="76" t="s">
        <v>68</v>
      </c>
      <c r="I89" s="76" t="s">
        <v>69</v>
      </c>
      <c r="J89" s="76" t="s">
        <v>262</v>
      </c>
      <c r="K89" s="76" t="s">
        <v>71</v>
      </c>
      <c r="L89" s="76" t="s">
        <v>356</v>
      </c>
      <c r="M89" s="76" t="s">
        <v>240</v>
      </c>
      <c r="N89" s="76" t="s">
        <v>241</v>
      </c>
      <c r="O89" s="76" t="s">
        <v>357</v>
      </c>
      <c r="P89" s="76">
        <v>1</v>
      </c>
      <c r="Q89" s="76">
        <v>1</v>
      </c>
      <c r="R89" s="76">
        <v>0</v>
      </c>
      <c r="S89" s="76" t="s">
        <v>76</v>
      </c>
      <c r="T89" s="76" t="s">
        <v>76</v>
      </c>
      <c r="U89" s="76" t="s">
        <v>76</v>
      </c>
      <c r="V89" s="76">
        <v>21213096</v>
      </c>
      <c r="W89" s="76" t="s">
        <v>259</v>
      </c>
      <c r="X89" s="76" t="s">
        <v>78</v>
      </c>
      <c r="Y89" s="76">
        <v>29</v>
      </c>
      <c r="Z89" s="76" t="s">
        <v>358</v>
      </c>
      <c r="AA89" s="76" t="s">
        <v>80</v>
      </c>
      <c r="AB89" s="76">
        <v>1</v>
      </c>
      <c r="AC89" s="76" t="s">
        <v>80</v>
      </c>
      <c r="AD89" s="77" t="s">
        <v>77</v>
      </c>
      <c r="AE89" s="77" t="s">
        <v>77</v>
      </c>
    </row>
    <row r="90" spans="1:31" x14ac:dyDescent="0.2">
      <c r="A90" s="76" t="s">
        <v>259</v>
      </c>
      <c r="B90" s="76" t="s">
        <v>64</v>
      </c>
      <c r="C90" s="76" t="s">
        <v>65</v>
      </c>
      <c r="D90" s="76" t="s">
        <v>260</v>
      </c>
      <c r="E90" s="74" t="s">
        <v>261</v>
      </c>
      <c r="F90" s="75">
        <v>46037</v>
      </c>
      <c r="G90" s="77">
        <v>46067</v>
      </c>
      <c r="H90" s="76" t="s">
        <v>68</v>
      </c>
      <c r="I90" s="76" t="s">
        <v>69</v>
      </c>
      <c r="J90" s="76" t="s">
        <v>262</v>
      </c>
      <c r="K90" s="76" t="s">
        <v>71</v>
      </c>
      <c r="L90" s="76" t="s">
        <v>359</v>
      </c>
      <c r="M90" s="76" t="s">
        <v>245</v>
      </c>
      <c r="N90" s="76" t="s">
        <v>246</v>
      </c>
      <c r="O90" s="76" t="s">
        <v>360</v>
      </c>
      <c r="P90" s="76">
        <v>1</v>
      </c>
      <c r="Q90" s="76">
        <v>1</v>
      </c>
      <c r="R90" s="76">
        <v>0</v>
      </c>
      <c r="S90" s="76" t="s">
        <v>76</v>
      </c>
      <c r="T90" s="76" t="s">
        <v>76</v>
      </c>
      <c r="U90" s="76" t="s">
        <v>76</v>
      </c>
      <c r="V90" s="76">
        <v>21213096</v>
      </c>
      <c r="W90" s="76" t="s">
        <v>259</v>
      </c>
      <c r="X90" s="76" t="s">
        <v>78</v>
      </c>
      <c r="Y90" s="76">
        <v>30</v>
      </c>
      <c r="Z90" s="76" t="s">
        <v>361</v>
      </c>
      <c r="AA90" s="76" t="s">
        <v>80</v>
      </c>
      <c r="AB90" s="76">
        <v>1</v>
      </c>
      <c r="AC90" s="76" t="s">
        <v>80</v>
      </c>
      <c r="AD90" s="77" t="s">
        <v>77</v>
      </c>
      <c r="AE90" s="77" t="s">
        <v>77</v>
      </c>
    </row>
    <row r="91" spans="1:31" x14ac:dyDescent="0.2">
      <c r="A91" s="76" t="s">
        <v>259</v>
      </c>
      <c r="B91" s="76" t="s">
        <v>64</v>
      </c>
      <c r="C91" s="76" t="s">
        <v>65</v>
      </c>
      <c r="D91" s="76" t="s">
        <v>260</v>
      </c>
      <c r="E91" s="74" t="s">
        <v>261</v>
      </c>
      <c r="F91" s="75">
        <v>46037</v>
      </c>
      <c r="G91" s="77">
        <v>46067</v>
      </c>
      <c r="H91" s="76" t="s">
        <v>68</v>
      </c>
      <c r="I91" s="76" t="s">
        <v>69</v>
      </c>
      <c r="J91" s="76" t="s">
        <v>262</v>
      </c>
      <c r="K91" s="76" t="s">
        <v>71</v>
      </c>
      <c r="L91" s="76" t="s">
        <v>362</v>
      </c>
      <c r="M91" s="76" t="s">
        <v>245</v>
      </c>
      <c r="N91" s="76" t="s">
        <v>246</v>
      </c>
      <c r="O91" s="76" t="s">
        <v>363</v>
      </c>
      <c r="P91" s="76">
        <v>1</v>
      </c>
      <c r="Q91" s="76">
        <v>1</v>
      </c>
      <c r="R91" s="76">
        <v>0</v>
      </c>
      <c r="S91" s="76" t="s">
        <v>76</v>
      </c>
      <c r="T91" s="76" t="s">
        <v>76</v>
      </c>
      <c r="U91" s="76" t="s">
        <v>76</v>
      </c>
      <c r="V91" s="76">
        <v>21213096</v>
      </c>
      <c r="W91" s="76" t="s">
        <v>259</v>
      </c>
      <c r="X91" s="76" t="s">
        <v>78</v>
      </c>
      <c r="Y91" s="76">
        <v>31</v>
      </c>
      <c r="Z91" s="76" t="s">
        <v>364</v>
      </c>
      <c r="AA91" s="76" t="s">
        <v>80</v>
      </c>
      <c r="AB91" s="76">
        <v>1</v>
      </c>
      <c r="AC91" s="76" t="s">
        <v>80</v>
      </c>
      <c r="AD91" s="77" t="s">
        <v>77</v>
      </c>
      <c r="AE91" s="77" t="s">
        <v>77</v>
      </c>
    </row>
    <row r="92" spans="1:31" x14ac:dyDescent="0.2">
      <c r="A92" s="76" t="s">
        <v>259</v>
      </c>
      <c r="B92" s="76" t="s">
        <v>64</v>
      </c>
      <c r="C92" s="76" t="s">
        <v>65</v>
      </c>
      <c r="D92" s="76" t="s">
        <v>260</v>
      </c>
      <c r="E92" s="74" t="s">
        <v>261</v>
      </c>
      <c r="F92" s="75">
        <v>46037</v>
      </c>
      <c r="G92" s="77">
        <v>46067</v>
      </c>
      <c r="H92" s="76" t="s">
        <v>68</v>
      </c>
      <c r="I92" s="76" t="s">
        <v>69</v>
      </c>
      <c r="J92" s="76" t="s">
        <v>262</v>
      </c>
      <c r="K92" s="76" t="s">
        <v>71</v>
      </c>
      <c r="L92" s="76" t="s">
        <v>254</v>
      </c>
      <c r="M92" s="76" t="s">
        <v>255</v>
      </c>
      <c r="N92" s="76" t="s">
        <v>256</v>
      </c>
      <c r="O92" s="76" t="s">
        <v>257</v>
      </c>
      <c r="P92" s="76">
        <v>1</v>
      </c>
      <c r="Q92" s="76">
        <v>1</v>
      </c>
      <c r="R92" s="76">
        <v>0</v>
      </c>
      <c r="S92" s="76" t="s">
        <v>76</v>
      </c>
      <c r="T92" s="76" t="s">
        <v>76</v>
      </c>
      <c r="U92" s="76" t="s">
        <v>76</v>
      </c>
      <c r="V92" s="76">
        <v>21213096</v>
      </c>
      <c r="W92" s="76" t="s">
        <v>259</v>
      </c>
      <c r="X92" s="76" t="s">
        <v>78</v>
      </c>
      <c r="Y92" s="76">
        <v>32</v>
      </c>
      <c r="Z92" s="76" t="s">
        <v>258</v>
      </c>
      <c r="AA92" s="76" t="s">
        <v>80</v>
      </c>
      <c r="AB92" s="76">
        <v>1</v>
      </c>
      <c r="AC92" s="76" t="s">
        <v>80</v>
      </c>
      <c r="AD92" s="77" t="s">
        <v>77</v>
      </c>
      <c r="AE92" s="77" t="s">
        <v>77</v>
      </c>
    </row>
    <row r="93" spans="1:31" x14ac:dyDescent="0.2">
      <c r="A93" s="76" t="s">
        <v>259</v>
      </c>
      <c r="B93" s="76" t="s">
        <v>64</v>
      </c>
      <c r="C93" s="76" t="s">
        <v>65</v>
      </c>
      <c r="D93" s="76" t="s">
        <v>260</v>
      </c>
      <c r="E93" s="74" t="s">
        <v>261</v>
      </c>
      <c r="F93" s="75">
        <v>46037</v>
      </c>
      <c r="G93" s="77">
        <v>46067</v>
      </c>
      <c r="H93" s="76" t="s">
        <v>68</v>
      </c>
      <c r="I93" s="76" t="s">
        <v>69</v>
      </c>
      <c r="J93" s="76" t="s">
        <v>262</v>
      </c>
      <c r="K93" s="76" t="s">
        <v>71</v>
      </c>
      <c r="L93" s="76" t="s">
        <v>365</v>
      </c>
      <c r="M93" s="76" t="s">
        <v>366</v>
      </c>
      <c r="N93" s="76" t="s">
        <v>74</v>
      </c>
      <c r="O93" s="76" t="s">
        <v>367</v>
      </c>
      <c r="P93" s="76">
        <v>1</v>
      </c>
      <c r="Q93" s="76">
        <v>1</v>
      </c>
      <c r="R93" s="76">
        <v>0</v>
      </c>
      <c r="S93" s="76" t="s">
        <v>76</v>
      </c>
      <c r="T93" s="76" t="s">
        <v>76</v>
      </c>
      <c r="U93" s="76" t="s">
        <v>76</v>
      </c>
      <c r="V93" s="76">
        <v>21213096</v>
      </c>
      <c r="W93" s="76" t="s">
        <v>259</v>
      </c>
      <c r="X93" s="76" t="s">
        <v>78</v>
      </c>
      <c r="Y93" s="76">
        <v>33</v>
      </c>
      <c r="Z93" s="76" t="s">
        <v>368</v>
      </c>
      <c r="AA93" s="76" t="s">
        <v>80</v>
      </c>
      <c r="AB93" s="76">
        <v>1</v>
      </c>
      <c r="AC93" s="76" t="s">
        <v>80</v>
      </c>
      <c r="AD93" s="77" t="s">
        <v>77</v>
      </c>
      <c r="AE93" s="77" t="s">
        <v>77</v>
      </c>
    </row>
    <row r="94" spans="1:31" x14ac:dyDescent="0.2">
      <c r="A94" s="76" t="s">
        <v>369</v>
      </c>
      <c r="B94" s="76" t="s">
        <v>64</v>
      </c>
      <c r="C94" s="76" t="s">
        <v>82</v>
      </c>
      <c r="D94" s="76" t="s">
        <v>370</v>
      </c>
      <c r="E94" s="74" t="s">
        <v>371</v>
      </c>
      <c r="F94" s="75">
        <v>46037</v>
      </c>
      <c r="G94" s="77">
        <v>46067</v>
      </c>
      <c r="H94" s="76" t="s">
        <v>68</v>
      </c>
      <c r="I94" s="76" t="s">
        <v>181</v>
      </c>
      <c r="J94" s="76" t="s">
        <v>372</v>
      </c>
      <c r="K94" s="76" t="s">
        <v>71</v>
      </c>
      <c r="L94" s="76" t="s">
        <v>373</v>
      </c>
      <c r="M94" s="76" t="s">
        <v>264</v>
      </c>
      <c r="N94" s="76" t="s">
        <v>265</v>
      </c>
      <c r="O94" s="76" t="s">
        <v>374</v>
      </c>
      <c r="P94" s="76">
        <v>1</v>
      </c>
      <c r="Q94" s="76">
        <v>1</v>
      </c>
      <c r="R94" s="76">
        <v>0</v>
      </c>
      <c r="S94" s="76" t="s">
        <v>76</v>
      </c>
      <c r="T94" s="76" t="s">
        <v>76</v>
      </c>
      <c r="U94" s="76" t="s">
        <v>76</v>
      </c>
      <c r="V94" s="76">
        <v>21212800</v>
      </c>
      <c r="W94" s="76" t="s">
        <v>369</v>
      </c>
      <c r="X94" s="76" t="s">
        <v>90</v>
      </c>
      <c r="Y94" s="76">
        <v>1</v>
      </c>
      <c r="Z94" s="76" t="s">
        <v>375</v>
      </c>
      <c r="AA94" s="76" t="s">
        <v>80</v>
      </c>
      <c r="AB94" s="76">
        <v>1</v>
      </c>
      <c r="AC94" s="76" t="s">
        <v>80</v>
      </c>
      <c r="AD94" s="77" t="s">
        <v>77</v>
      </c>
      <c r="AE94" s="77" t="s">
        <v>77</v>
      </c>
    </row>
    <row r="95" spans="1:31" x14ac:dyDescent="0.2">
      <c r="A95" s="76" t="s">
        <v>369</v>
      </c>
      <c r="B95" s="76" t="s">
        <v>64</v>
      </c>
      <c r="C95" s="76" t="s">
        <v>82</v>
      </c>
      <c r="D95" s="76" t="s">
        <v>370</v>
      </c>
      <c r="E95" s="74" t="s">
        <v>371</v>
      </c>
      <c r="F95" s="75">
        <v>46037</v>
      </c>
      <c r="G95" s="77">
        <v>46067</v>
      </c>
      <c r="H95" s="76" t="s">
        <v>68</v>
      </c>
      <c r="I95" s="76" t="s">
        <v>181</v>
      </c>
      <c r="J95" s="76" t="s">
        <v>372</v>
      </c>
      <c r="K95" s="76" t="s">
        <v>71</v>
      </c>
      <c r="L95" s="76" t="s">
        <v>376</v>
      </c>
      <c r="M95" s="76" t="s">
        <v>264</v>
      </c>
      <c r="N95" s="76" t="s">
        <v>265</v>
      </c>
      <c r="O95" s="76" t="s">
        <v>377</v>
      </c>
      <c r="P95" s="76">
        <v>1</v>
      </c>
      <c r="Q95" s="76">
        <v>1</v>
      </c>
      <c r="R95" s="76">
        <v>0</v>
      </c>
      <c r="S95" s="76" t="s">
        <v>76</v>
      </c>
      <c r="T95" s="76" t="s">
        <v>76</v>
      </c>
      <c r="U95" s="76" t="s">
        <v>76</v>
      </c>
      <c r="V95" s="76">
        <v>21212800</v>
      </c>
      <c r="W95" s="76" t="s">
        <v>369</v>
      </c>
      <c r="X95" s="76" t="s">
        <v>90</v>
      </c>
      <c r="Y95" s="76">
        <v>2</v>
      </c>
      <c r="Z95" s="76" t="s">
        <v>378</v>
      </c>
      <c r="AA95" s="76" t="s">
        <v>80</v>
      </c>
      <c r="AB95" s="76">
        <v>1</v>
      </c>
      <c r="AC95" s="76" t="s">
        <v>80</v>
      </c>
      <c r="AD95" s="77" t="s">
        <v>77</v>
      </c>
      <c r="AE95" s="77" t="s">
        <v>77</v>
      </c>
    </row>
    <row r="96" spans="1:31" x14ac:dyDescent="0.2">
      <c r="A96" s="76" t="s">
        <v>369</v>
      </c>
      <c r="B96" s="76" t="s">
        <v>64</v>
      </c>
      <c r="C96" s="76" t="s">
        <v>82</v>
      </c>
      <c r="D96" s="76" t="s">
        <v>370</v>
      </c>
      <c r="E96" s="74" t="s">
        <v>371</v>
      </c>
      <c r="F96" s="75">
        <v>46037</v>
      </c>
      <c r="G96" s="77">
        <v>46067</v>
      </c>
      <c r="H96" s="76" t="s">
        <v>68</v>
      </c>
      <c r="I96" s="76" t="s">
        <v>181</v>
      </c>
      <c r="J96" s="76" t="s">
        <v>372</v>
      </c>
      <c r="K96" s="76" t="s">
        <v>71</v>
      </c>
      <c r="L96" s="76" t="s">
        <v>379</v>
      </c>
      <c r="M96" s="76" t="s">
        <v>264</v>
      </c>
      <c r="N96" s="76" t="s">
        <v>265</v>
      </c>
      <c r="O96" s="76" t="s">
        <v>380</v>
      </c>
      <c r="P96" s="76">
        <v>1</v>
      </c>
      <c r="Q96" s="76">
        <v>1</v>
      </c>
      <c r="R96" s="76">
        <v>0</v>
      </c>
      <c r="S96" s="76" t="s">
        <v>76</v>
      </c>
      <c r="T96" s="76" t="s">
        <v>76</v>
      </c>
      <c r="U96" s="76" t="s">
        <v>76</v>
      </c>
      <c r="V96" s="76">
        <v>21212800</v>
      </c>
      <c r="W96" s="76" t="s">
        <v>369</v>
      </c>
      <c r="X96" s="76" t="s">
        <v>90</v>
      </c>
      <c r="Y96" s="76">
        <v>3</v>
      </c>
      <c r="Z96" s="76" t="s">
        <v>381</v>
      </c>
      <c r="AA96" s="76" t="s">
        <v>80</v>
      </c>
      <c r="AB96" s="76">
        <v>1</v>
      </c>
      <c r="AC96" s="76" t="s">
        <v>80</v>
      </c>
      <c r="AD96" s="77" t="s">
        <v>77</v>
      </c>
      <c r="AE96" s="77" t="s">
        <v>77</v>
      </c>
    </row>
    <row r="97" spans="1:31" x14ac:dyDescent="0.2">
      <c r="A97" s="76" t="s">
        <v>369</v>
      </c>
      <c r="B97" s="76" t="s">
        <v>64</v>
      </c>
      <c r="C97" s="76" t="s">
        <v>82</v>
      </c>
      <c r="D97" s="76" t="s">
        <v>370</v>
      </c>
      <c r="E97" s="74" t="s">
        <v>371</v>
      </c>
      <c r="F97" s="75">
        <v>46037</v>
      </c>
      <c r="G97" s="77">
        <v>46067</v>
      </c>
      <c r="H97" s="76" t="s">
        <v>68</v>
      </c>
      <c r="I97" s="76" t="s">
        <v>181</v>
      </c>
      <c r="J97" s="76" t="s">
        <v>372</v>
      </c>
      <c r="K97" s="76" t="s">
        <v>71</v>
      </c>
      <c r="L97" s="76" t="s">
        <v>382</v>
      </c>
      <c r="M97" s="76" t="s">
        <v>272</v>
      </c>
      <c r="N97" s="76" t="s">
        <v>273</v>
      </c>
      <c r="O97" s="76" t="s">
        <v>383</v>
      </c>
      <c r="P97" s="76">
        <v>1</v>
      </c>
      <c r="Q97" s="76">
        <v>1</v>
      </c>
      <c r="R97" s="76">
        <v>0</v>
      </c>
      <c r="S97" s="76" t="s">
        <v>76</v>
      </c>
      <c r="T97" s="76" t="s">
        <v>76</v>
      </c>
      <c r="U97" s="76" t="s">
        <v>76</v>
      </c>
      <c r="V97" s="76">
        <v>21212800</v>
      </c>
      <c r="W97" s="76" t="s">
        <v>369</v>
      </c>
      <c r="X97" s="76" t="s">
        <v>90</v>
      </c>
      <c r="Y97" s="76">
        <v>4</v>
      </c>
      <c r="Z97" s="76" t="s">
        <v>384</v>
      </c>
      <c r="AA97" s="76" t="s">
        <v>80</v>
      </c>
      <c r="AB97" s="76">
        <v>1</v>
      </c>
      <c r="AC97" s="76" t="s">
        <v>80</v>
      </c>
      <c r="AD97" s="77" t="s">
        <v>77</v>
      </c>
      <c r="AE97" s="77" t="s">
        <v>77</v>
      </c>
    </row>
    <row r="98" spans="1:31" x14ac:dyDescent="0.2">
      <c r="A98" s="76" t="s">
        <v>369</v>
      </c>
      <c r="B98" s="76" t="s">
        <v>64</v>
      </c>
      <c r="C98" s="76" t="s">
        <v>82</v>
      </c>
      <c r="D98" s="76" t="s">
        <v>370</v>
      </c>
      <c r="E98" s="74" t="s">
        <v>371</v>
      </c>
      <c r="F98" s="75">
        <v>46037</v>
      </c>
      <c r="G98" s="77">
        <v>46067</v>
      </c>
      <c r="H98" s="76" t="s">
        <v>68</v>
      </c>
      <c r="I98" s="76" t="s">
        <v>181</v>
      </c>
      <c r="J98" s="76" t="s">
        <v>372</v>
      </c>
      <c r="K98" s="76" t="s">
        <v>71</v>
      </c>
      <c r="L98" s="76" t="s">
        <v>385</v>
      </c>
      <c r="M98" s="76" t="s">
        <v>272</v>
      </c>
      <c r="N98" s="76" t="s">
        <v>273</v>
      </c>
      <c r="O98" s="76" t="s">
        <v>386</v>
      </c>
      <c r="P98" s="76">
        <v>1</v>
      </c>
      <c r="Q98" s="76">
        <v>1</v>
      </c>
      <c r="R98" s="76">
        <v>0</v>
      </c>
      <c r="S98" s="76" t="s">
        <v>76</v>
      </c>
      <c r="T98" s="76" t="s">
        <v>76</v>
      </c>
      <c r="U98" s="76" t="s">
        <v>76</v>
      </c>
      <c r="V98" s="76">
        <v>21212800</v>
      </c>
      <c r="W98" s="76" t="s">
        <v>369</v>
      </c>
      <c r="X98" s="76" t="s">
        <v>90</v>
      </c>
      <c r="Y98" s="76">
        <v>5</v>
      </c>
      <c r="Z98" s="76" t="s">
        <v>387</v>
      </c>
      <c r="AA98" s="76" t="s">
        <v>80</v>
      </c>
      <c r="AB98" s="76">
        <v>1</v>
      </c>
      <c r="AC98" s="76" t="s">
        <v>80</v>
      </c>
      <c r="AD98" s="77" t="s">
        <v>77</v>
      </c>
      <c r="AE98" s="77" t="s">
        <v>77</v>
      </c>
    </row>
    <row r="99" spans="1:31" x14ac:dyDescent="0.2">
      <c r="A99" s="76" t="s">
        <v>369</v>
      </c>
      <c r="B99" s="76" t="s">
        <v>64</v>
      </c>
      <c r="C99" s="76" t="s">
        <v>82</v>
      </c>
      <c r="D99" s="76" t="s">
        <v>370</v>
      </c>
      <c r="E99" s="74" t="s">
        <v>371</v>
      </c>
      <c r="F99" s="75">
        <v>46037</v>
      </c>
      <c r="G99" s="77">
        <v>46067</v>
      </c>
      <c r="H99" s="76" t="s">
        <v>68</v>
      </c>
      <c r="I99" s="76" t="s">
        <v>181</v>
      </c>
      <c r="J99" s="76" t="s">
        <v>372</v>
      </c>
      <c r="K99" s="76" t="s">
        <v>71</v>
      </c>
      <c r="L99" s="76" t="s">
        <v>388</v>
      </c>
      <c r="M99" s="76" t="s">
        <v>272</v>
      </c>
      <c r="N99" s="76" t="s">
        <v>273</v>
      </c>
      <c r="O99" s="76" t="s">
        <v>389</v>
      </c>
      <c r="P99" s="76">
        <v>1</v>
      </c>
      <c r="Q99" s="76">
        <v>1</v>
      </c>
      <c r="R99" s="76">
        <v>0</v>
      </c>
      <c r="S99" s="76" t="s">
        <v>76</v>
      </c>
      <c r="T99" s="76" t="s">
        <v>76</v>
      </c>
      <c r="U99" s="76" t="s">
        <v>76</v>
      </c>
      <c r="V99" s="76">
        <v>21212800</v>
      </c>
      <c r="W99" s="76" t="s">
        <v>369</v>
      </c>
      <c r="X99" s="76" t="s">
        <v>90</v>
      </c>
      <c r="Y99" s="76">
        <v>6</v>
      </c>
      <c r="Z99" s="76" t="s">
        <v>390</v>
      </c>
      <c r="AA99" s="76" t="s">
        <v>80</v>
      </c>
      <c r="AB99" s="76">
        <v>1</v>
      </c>
      <c r="AC99" s="76" t="s">
        <v>80</v>
      </c>
      <c r="AD99" s="77" t="s">
        <v>77</v>
      </c>
      <c r="AE99" s="77" t="s">
        <v>77</v>
      </c>
    </row>
    <row r="100" spans="1:31" x14ac:dyDescent="0.2">
      <c r="A100" s="76" t="s">
        <v>369</v>
      </c>
      <c r="B100" s="76" t="s">
        <v>64</v>
      </c>
      <c r="C100" s="76" t="s">
        <v>82</v>
      </c>
      <c r="D100" s="76" t="s">
        <v>370</v>
      </c>
      <c r="E100" s="74" t="s">
        <v>371</v>
      </c>
      <c r="F100" s="75">
        <v>46037</v>
      </c>
      <c r="G100" s="77">
        <v>46067</v>
      </c>
      <c r="H100" s="76" t="s">
        <v>68</v>
      </c>
      <c r="I100" s="76" t="s">
        <v>181</v>
      </c>
      <c r="J100" s="76" t="s">
        <v>372</v>
      </c>
      <c r="K100" s="76" t="s">
        <v>71</v>
      </c>
      <c r="L100" s="76" t="s">
        <v>391</v>
      </c>
      <c r="M100" s="76" t="s">
        <v>195</v>
      </c>
      <c r="N100" s="76" t="s">
        <v>196</v>
      </c>
      <c r="O100" s="76" t="s">
        <v>392</v>
      </c>
      <c r="P100" s="76">
        <v>1</v>
      </c>
      <c r="Q100" s="76">
        <v>1</v>
      </c>
      <c r="R100" s="76">
        <v>0</v>
      </c>
      <c r="S100" s="76" t="s">
        <v>76</v>
      </c>
      <c r="T100" s="76" t="s">
        <v>76</v>
      </c>
      <c r="U100" s="76" t="s">
        <v>76</v>
      </c>
      <c r="V100" s="76">
        <v>21212800</v>
      </c>
      <c r="W100" s="76" t="s">
        <v>369</v>
      </c>
      <c r="X100" s="76" t="s">
        <v>90</v>
      </c>
      <c r="Y100" s="76">
        <v>7</v>
      </c>
      <c r="Z100" s="76" t="s">
        <v>393</v>
      </c>
      <c r="AA100" s="76" t="s">
        <v>80</v>
      </c>
      <c r="AB100" s="76">
        <v>1</v>
      </c>
      <c r="AC100" s="76" t="s">
        <v>80</v>
      </c>
      <c r="AD100" s="77" t="s">
        <v>77</v>
      </c>
      <c r="AE100" s="77" t="s">
        <v>77</v>
      </c>
    </row>
    <row r="101" spans="1:31" x14ac:dyDescent="0.2">
      <c r="A101" s="76" t="s">
        <v>369</v>
      </c>
      <c r="B101" s="76" t="s">
        <v>64</v>
      </c>
      <c r="C101" s="76" t="s">
        <v>82</v>
      </c>
      <c r="D101" s="76" t="s">
        <v>370</v>
      </c>
      <c r="E101" s="74" t="s">
        <v>371</v>
      </c>
      <c r="F101" s="75">
        <v>46037</v>
      </c>
      <c r="G101" s="77">
        <v>46067</v>
      </c>
      <c r="H101" s="76" t="s">
        <v>68</v>
      </c>
      <c r="I101" s="76" t="s">
        <v>181</v>
      </c>
      <c r="J101" s="76" t="s">
        <v>372</v>
      </c>
      <c r="K101" s="76" t="s">
        <v>71</v>
      </c>
      <c r="L101" s="76" t="s">
        <v>394</v>
      </c>
      <c r="M101" s="76" t="s">
        <v>195</v>
      </c>
      <c r="N101" s="76" t="s">
        <v>196</v>
      </c>
      <c r="O101" s="76" t="s">
        <v>395</v>
      </c>
      <c r="P101" s="76">
        <v>1</v>
      </c>
      <c r="Q101" s="76">
        <v>1</v>
      </c>
      <c r="R101" s="76">
        <v>0</v>
      </c>
      <c r="S101" s="76" t="s">
        <v>76</v>
      </c>
      <c r="T101" s="76" t="s">
        <v>76</v>
      </c>
      <c r="U101" s="76" t="s">
        <v>76</v>
      </c>
      <c r="V101" s="76">
        <v>21212800</v>
      </c>
      <c r="W101" s="76" t="s">
        <v>369</v>
      </c>
      <c r="X101" s="76" t="s">
        <v>90</v>
      </c>
      <c r="Y101" s="76">
        <v>8</v>
      </c>
      <c r="Z101" s="76" t="s">
        <v>396</v>
      </c>
      <c r="AA101" s="76" t="s">
        <v>80</v>
      </c>
      <c r="AB101" s="76">
        <v>1</v>
      </c>
      <c r="AC101" s="76" t="s">
        <v>80</v>
      </c>
      <c r="AD101" s="77" t="s">
        <v>77</v>
      </c>
      <c r="AE101" s="77" t="s">
        <v>77</v>
      </c>
    </row>
    <row r="102" spans="1:31" x14ac:dyDescent="0.2">
      <c r="A102" s="76" t="s">
        <v>369</v>
      </c>
      <c r="B102" s="76" t="s">
        <v>64</v>
      </c>
      <c r="C102" s="76" t="s">
        <v>82</v>
      </c>
      <c r="D102" s="76" t="s">
        <v>370</v>
      </c>
      <c r="E102" s="74" t="s">
        <v>371</v>
      </c>
      <c r="F102" s="75">
        <v>46037</v>
      </c>
      <c r="G102" s="77">
        <v>46067</v>
      </c>
      <c r="H102" s="76" t="s">
        <v>68</v>
      </c>
      <c r="I102" s="76" t="s">
        <v>181</v>
      </c>
      <c r="J102" s="76" t="s">
        <v>372</v>
      </c>
      <c r="K102" s="76" t="s">
        <v>71</v>
      </c>
      <c r="L102" s="76" t="s">
        <v>397</v>
      </c>
      <c r="M102" s="76" t="s">
        <v>292</v>
      </c>
      <c r="N102" s="76" t="s">
        <v>293</v>
      </c>
      <c r="O102" s="76" t="s">
        <v>398</v>
      </c>
      <c r="P102" s="76">
        <v>1</v>
      </c>
      <c r="Q102" s="76">
        <v>1</v>
      </c>
      <c r="R102" s="76">
        <v>0</v>
      </c>
      <c r="S102" s="76" t="s">
        <v>76</v>
      </c>
      <c r="T102" s="76" t="s">
        <v>76</v>
      </c>
      <c r="U102" s="76" t="s">
        <v>76</v>
      </c>
      <c r="V102" s="76">
        <v>21212800</v>
      </c>
      <c r="W102" s="76" t="s">
        <v>369</v>
      </c>
      <c r="X102" s="76" t="s">
        <v>90</v>
      </c>
      <c r="Y102" s="76">
        <v>9</v>
      </c>
      <c r="Z102" s="76" t="s">
        <v>399</v>
      </c>
      <c r="AA102" s="76" t="s">
        <v>80</v>
      </c>
      <c r="AB102" s="76">
        <v>1</v>
      </c>
      <c r="AC102" s="76" t="s">
        <v>80</v>
      </c>
      <c r="AD102" s="77" t="s">
        <v>77</v>
      </c>
      <c r="AE102" s="77" t="s">
        <v>77</v>
      </c>
    </row>
    <row r="103" spans="1:31" x14ac:dyDescent="0.2">
      <c r="A103" s="76" t="s">
        <v>369</v>
      </c>
      <c r="B103" s="76" t="s">
        <v>64</v>
      </c>
      <c r="C103" s="76" t="s">
        <v>82</v>
      </c>
      <c r="D103" s="76" t="s">
        <v>370</v>
      </c>
      <c r="E103" s="74" t="s">
        <v>371</v>
      </c>
      <c r="F103" s="75">
        <v>46037</v>
      </c>
      <c r="G103" s="77">
        <v>46067</v>
      </c>
      <c r="H103" s="76" t="s">
        <v>68</v>
      </c>
      <c r="I103" s="76" t="s">
        <v>181</v>
      </c>
      <c r="J103" s="76" t="s">
        <v>372</v>
      </c>
      <c r="K103" s="76" t="s">
        <v>71</v>
      </c>
      <c r="L103" s="76" t="s">
        <v>400</v>
      </c>
      <c r="M103" s="76" t="s">
        <v>87</v>
      </c>
      <c r="N103" s="76" t="s">
        <v>88</v>
      </c>
      <c r="O103" s="76" t="s">
        <v>401</v>
      </c>
      <c r="P103" s="76">
        <v>1</v>
      </c>
      <c r="Q103" s="76">
        <v>1</v>
      </c>
      <c r="R103" s="76">
        <v>0</v>
      </c>
      <c r="S103" s="76" t="s">
        <v>76</v>
      </c>
      <c r="T103" s="76" t="s">
        <v>76</v>
      </c>
      <c r="U103" s="76" t="s">
        <v>76</v>
      </c>
      <c r="V103" s="76">
        <v>21212800</v>
      </c>
      <c r="W103" s="76" t="s">
        <v>369</v>
      </c>
      <c r="X103" s="76" t="s">
        <v>90</v>
      </c>
      <c r="Y103" s="76">
        <v>10</v>
      </c>
      <c r="Z103" s="76" t="s">
        <v>402</v>
      </c>
      <c r="AA103" s="76" t="s">
        <v>80</v>
      </c>
      <c r="AB103" s="76">
        <v>1</v>
      </c>
      <c r="AC103" s="76" t="s">
        <v>80</v>
      </c>
      <c r="AD103" s="77" t="s">
        <v>77</v>
      </c>
      <c r="AE103" s="77" t="s">
        <v>77</v>
      </c>
    </row>
    <row r="104" spans="1:31" x14ac:dyDescent="0.2">
      <c r="A104" s="76" t="s">
        <v>369</v>
      </c>
      <c r="B104" s="76" t="s">
        <v>64</v>
      </c>
      <c r="C104" s="76" t="s">
        <v>82</v>
      </c>
      <c r="D104" s="76" t="s">
        <v>370</v>
      </c>
      <c r="E104" s="74" t="s">
        <v>371</v>
      </c>
      <c r="F104" s="75">
        <v>46037</v>
      </c>
      <c r="G104" s="77">
        <v>46067</v>
      </c>
      <c r="H104" s="76" t="s">
        <v>68</v>
      </c>
      <c r="I104" s="76" t="s">
        <v>181</v>
      </c>
      <c r="J104" s="76" t="s">
        <v>372</v>
      </c>
      <c r="K104" s="76" t="s">
        <v>71</v>
      </c>
      <c r="L104" s="76" t="s">
        <v>403</v>
      </c>
      <c r="M104" s="76" t="s">
        <v>203</v>
      </c>
      <c r="N104" s="76" t="s">
        <v>88</v>
      </c>
      <c r="O104" s="76" t="s">
        <v>404</v>
      </c>
      <c r="P104" s="76">
        <v>1</v>
      </c>
      <c r="Q104" s="76">
        <v>1</v>
      </c>
      <c r="R104" s="76">
        <v>0</v>
      </c>
      <c r="S104" s="76" t="s">
        <v>76</v>
      </c>
      <c r="T104" s="76" t="s">
        <v>76</v>
      </c>
      <c r="U104" s="76" t="s">
        <v>76</v>
      </c>
      <c r="V104" s="76">
        <v>21212800</v>
      </c>
      <c r="W104" s="76" t="s">
        <v>369</v>
      </c>
      <c r="X104" s="76" t="s">
        <v>90</v>
      </c>
      <c r="Y104" s="76">
        <v>11</v>
      </c>
      <c r="Z104" s="76" t="s">
        <v>405</v>
      </c>
      <c r="AA104" s="76" t="s">
        <v>80</v>
      </c>
      <c r="AB104" s="76">
        <v>1</v>
      </c>
      <c r="AC104" s="76" t="s">
        <v>80</v>
      </c>
      <c r="AD104" s="77" t="s">
        <v>77</v>
      </c>
      <c r="AE104" s="77" t="s">
        <v>77</v>
      </c>
    </row>
    <row r="105" spans="1:31" x14ac:dyDescent="0.2">
      <c r="A105" s="76" t="s">
        <v>369</v>
      </c>
      <c r="B105" s="76" t="s">
        <v>64</v>
      </c>
      <c r="C105" s="76" t="s">
        <v>82</v>
      </c>
      <c r="D105" s="76" t="s">
        <v>370</v>
      </c>
      <c r="E105" s="74" t="s">
        <v>371</v>
      </c>
      <c r="F105" s="75">
        <v>46037</v>
      </c>
      <c r="G105" s="77">
        <v>46067</v>
      </c>
      <c r="H105" s="76" t="s">
        <v>68</v>
      </c>
      <c r="I105" s="76" t="s">
        <v>181</v>
      </c>
      <c r="J105" s="76" t="s">
        <v>372</v>
      </c>
      <c r="K105" s="76" t="s">
        <v>71</v>
      </c>
      <c r="L105" s="76" t="s">
        <v>406</v>
      </c>
      <c r="M105" s="76" t="s">
        <v>73</v>
      </c>
      <c r="N105" s="76" t="s">
        <v>74</v>
      </c>
      <c r="O105" s="76" t="s">
        <v>407</v>
      </c>
      <c r="P105" s="76">
        <v>1</v>
      </c>
      <c r="Q105" s="76">
        <v>0</v>
      </c>
      <c r="R105" s="76">
        <v>1</v>
      </c>
      <c r="S105" s="76" t="s">
        <v>472</v>
      </c>
      <c r="T105" s="76" t="s">
        <v>76</v>
      </c>
      <c r="U105" s="76" t="s">
        <v>76</v>
      </c>
      <c r="V105" s="76">
        <v>21212800</v>
      </c>
      <c r="W105" s="76" t="s">
        <v>369</v>
      </c>
      <c r="X105" s="76" t="s">
        <v>90</v>
      </c>
      <c r="Y105" s="76">
        <v>12</v>
      </c>
      <c r="Z105" s="76" t="s">
        <v>408</v>
      </c>
      <c r="AA105" s="76" t="s">
        <v>80</v>
      </c>
      <c r="AB105" s="76">
        <v>1</v>
      </c>
      <c r="AC105" s="76" t="s">
        <v>80</v>
      </c>
      <c r="AD105" s="77" t="s">
        <v>77</v>
      </c>
      <c r="AE105" s="77" t="s">
        <v>77</v>
      </c>
    </row>
    <row r="106" spans="1:31" x14ac:dyDescent="0.2">
      <c r="A106" s="76" t="s">
        <v>369</v>
      </c>
      <c r="B106" s="76" t="s">
        <v>64</v>
      </c>
      <c r="C106" s="76" t="s">
        <v>82</v>
      </c>
      <c r="D106" s="76" t="s">
        <v>370</v>
      </c>
      <c r="E106" s="74" t="s">
        <v>371</v>
      </c>
      <c r="F106" s="75">
        <v>46037</v>
      </c>
      <c r="G106" s="77">
        <v>46067</v>
      </c>
      <c r="H106" s="76" t="s">
        <v>68</v>
      </c>
      <c r="I106" s="76" t="s">
        <v>181</v>
      </c>
      <c r="J106" s="76" t="s">
        <v>372</v>
      </c>
      <c r="K106" s="76" t="s">
        <v>71</v>
      </c>
      <c r="L106" s="76" t="s">
        <v>163</v>
      </c>
      <c r="M106" s="76" t="s">
        <v>73</v>
      </c>
      <c r="N106" s="76" t="s">
        <v>74</v>
      </c>
      <c r="O106" s="76" t="s">
        <v>164</v>
      </c>
      <c r="P106" s="76">
        <v>1</v>
      </c>
      <c r="Q106" s="76">
        <v>1</v>
      </c>
      <c r="R106" s="76">
        <v>0</v>
      </c>
      <c r="S106" s="76" t="s">
        <v>76</v>
      </c>
      <c r="T106" s="76" t="s">
        <v>76</v>
      </c>
      <c r="U106" s="76" t="s">
        <v>76</v>
      </c>
      <c r="V106" s="76">
        <v>21212800</v>
      </c>
      <c r="W106" s="76" t="s">
        <v>369</v>
      </c>
      <c r="X106" s="76" t="s">
        <v>90</v>
      </c>
      <c r="Y106" s="76">
        <v>13</v>
      </c>
      <c r="Z106" s="76" t="s">
        <v>165</v>
      </c>
      <c r="AA106" s="76" t="s">
        <v>80</v>
      </c>
      <c r="AB106" s="76">
        <v>1</v>
      </c>
      <c r="AC106" s="76" t="s">
        <v>80</v>
      </c>
      <c r="AD106" s="77" t="s">
        <v>77</v>
      </c>
      <c r="AE106" s="77" t="s">
        <v>77</v>
      </c>
    </row>
    <row r="107" spans="1:31" x14ac:dyDescent="0.2">
      <c r="A107" s="76" t="s">
        <v>369</v>
      </c>
      <c r="B107" s="76" t="s">
        <v>64</v>
      </c>
      <c r="C107" s="76" t="s">
        <v>82</v>
      </c>
      <c r="D107" s="76" t="s">
        <v>370</v>
      </c>
      <c r="E107" s="74" t="s">
        <v>371</v>
      </c>
      <c r="F107" s="75">
        <v>46037</v>
      </c>
      <c r="G107" s="77">
        <v>46067</v>
      </c>
      <c r="H107" s="76" t="s">
        <v>68</v>
      </c>
      <c r="I107" s="76" t="s">
        <v>181</v>
      </c>
      <c r="J107" s="76" t="s">
        <v>372</v>
      </c>
      <c r="K107" s="76" t="s">
        <v>71</v>
      </c>
      <c r="L107" s="76" t="s">
        <v>409</v>
      </c>
      <c r="M107" s="76" t="s">
        <v>210</v>
      </c>
      <c r="N107" s="76" t="s">
        <v>133</v>
      </c>
      <c r="O107" s="76" t="s">
        <v>410</v>
      </c>
      <c r="P107" s="76">
        <v>1</v>
      </c>
      <c r="Q107" s="76">
        <v>1</v>
      </c>
      <c r="R107" s="76">
        <v>0</v>
      </c>
      <c r="S107" s="76" t="s">
        <v>76</v>
      </c>
      <c r="T107" s="76" t="s">
        <v>76</v>
      </c>
      <c r="U107" s="76" t="s">
        <v>76</v>
      </c>
      <c r="V107" s="76">
        <v>21212800</v>
      </c>
      <c r="W107" s="76" t="s">
        <v>369</v>
      </c>
      <c r="X107" s="76" t="s">
        <v>90</v>
      </c>
      <c r="Y107" s="76">
        <v>14</v>
      </c>
      <c r="Z107" s="76" t="s">
        <v>411</v>
      </c>
      <c r="AA107" s="76" t="s">
        <v>80</v>
      </c>
      <c r="AB107" s="76">
        <v>1</v>
      </c>
      <c r="AC107" s="76" t="s">
        <v>80</v>
      </c>
      <c r="AD107" s="77" t="s">
        <v>77</v>
      </c>
      <c r="AE107" s="77" t="s">
        <v>77</v>
      </c>
    </row>
    <row r="108" spans="1:31" x14ac:dyDescent="0.2">
      <c r="A108" s="76" t="s">
        <v>369</v>
      </c>
      <c r="B108" s="76" t="s">
        <v>64</v>
      </c>
      <c r="C108" s="76" t="s">
        <v>82</v>
      </c>
      <c r="D108" s="76" t="s">
        <v>370</v>
      </c>
      <c r="E108" s="74" t="s">
        <v>371</v>
      </c>
      <c r="F108" s="75">
        <v>46037</v>
      </c>
      <c r="G108" s="77">
        <v>46067</v>
      </c>
      <c r="H108" s="76" t="s">
        <v>68</v>
      </c>
      <c r="I108" s="76" t="s">
        <v>181</v>
      </c>
      <c r="J108" s="76" t="s">
        <v>372</v>
      </c>
      <c r="K108" s="76" t="s">
        <v>71</v>
      </c>
      <c r="L108" s="76" t="s">
        <v>412</v>
      </c>
      <c r="M108" s="76" t="s">
        <v>300</v>
      </c>
      <c r="N108" s="76" t="s">
        <v>301</v>
      </c>
      <c r="O108" s="76" t="s">
        <v>413</v>
      </c>
      <c r="P108" s="76">
        <v>1</v>
      </c>
      <c r="Q108" s="76">
        <v>1</v>
      </c>
      <c r="R108" s="76">
        <v>0</v>
      </c>
      <c r="S108" s="76" t="s">
        <v>76</v>
      </c>
      <c r="T108" s="76" t="s">
        <v>76</v>
      </c>
      <c r="U108" s="76" t="s">
        <v>76</v>
      </c>
      <c r="V108" s="76">
        <v>21212800</v>
      </c>
      <c r="W108" s="76" t="s">
        <v>369</v>
      </c>
      <c r="X108" s="76" t="s">
        <v>90</v>
      </c>
      <c r="Y108" s="76">
        <v>15</v>
      </c>
      <c r="Z108" s="76" t="s">
        <v>414</v>
      </c>
      <c r="AA108" s="76" t="s">
        <v>80</v>
      </c>
      <c r="AB108" s="76">
        <v>1</v>
      </c>
      <c r="AC108" s="76" t="s">
        <v>80</v>
      </c>
      <c r="AD108" s="77" t="s">
        <v>77</v>
      </c>
      <c r="AE108" s="77" t="s">
        <v>77</v>
      </c>
    </row>
    <row r="109" spans="1:31" x14ac:dyDescent="0.2">
      <c r="A109" s="76" t="s">
        <v>369</v>
      </c>
      <c r="B109" s="76" t="s">
        <v>64</v>
      </c>
      <c r="C109" s="76" t="s">
        <v>82</v>
      </c>
      <c r="D109" s="76" t="s">
        <v>370</v>
      </c>
      <c r="E109" s="74" t="s">
        <v>371</v>
      </c>
      <c r="F109" s="75">
        <v>46037</v>
      </c>
      <c r="G109" s="77">
        <v>46067</v>
      </c>
      <c r="H109" s="76" t="s">
        <v>68</v>
      </c>
      <c r="I109" s="76" t="s">
        <v>181</v>
      </c>
      <c r="J109" s="76" t="s">
        <v>372</v>
      </c>
      <c r="K109" s="76" t="s">
        <v>71</v>
      </c>
      <c r="L109" s="76" t="s">
        <v>415</v>
      </c>
      <c r="M109" s="76" t="s">
        <v>300</v>
      </c>
      <c r="N109" s="76" t="s">
        <v>301</v>
      </c>
      <c r="O109" s="76" t="s">
        <v>416</v>
      </c>
      <c r="P109" s="76">
        <v>1</v>
      </c>
      <c r="Q109" s="76">
        <v>1</v>
      </c>
      <c r="R109" s="76">
        <v>0</v>
      </c>
      <c r="S109" s="76" t="s">
        <v>76</v>
      </c>
      <c r="T109" s="76" t="s">
        <v>76</v>
      </c>
      <c r="U109" s="76" t="s">
        <v>76</v>
      </c>
      <c r="V109" s="76">
        <v>21212800</v>
      </c>
      <c r="W109" s="76" t="s">
        <v>369</v>
      </c>
      <c r="X109" s="76" t="s">
        <v>90</v>
      </c>
      <c r="Y109" s="76">
        <v>16</v>
      </c>
      <c r="Z109" s="76" t="s">
        <v>417</v>
      </c>
      <c r="AA109" s="76" t="s">
        <v>80</v>
      </c>
      <c r="AB109" s="76">
        <v>1</v>
      </c>
      <c r="AC109" s="76" t="s">
        <v>80</v>
      </c>
      <c r="AD109" s="77" t="s">
        <v>77</v>
      </c>
      <c r="AE109" s="77" t="s">
        <v>77</v>
      </c>
    </row>
    <row r="110" spans="1:31" x14ac:dyDescent="0.2">
      <c r="A110" s="76" t="s">
        <v>369</v>
      </c>
      <c r="B110" s="76" t="s">
        <v>64</v>
      </c>
      <c r="C110" s="76" t="s">
        <v>82</v>
      </c>
      <c r="D110" s="76" t="s">
        <v>370</v>
      </c>
      <c r="E110" s="74" t="s">
        <v>371</v>
      </c>
      <c r="F110" s="75">
        <v>46037</v>
      </c>
      <c r="G110" s="77">
        <v>46067</v>
      </c>
      <c r="H110" s="76" t="s">
        <v>68</v>
      </c>
      <c r="I110" s="76" t="s">
        <v>181</v>
      </c>
      <c r="J110" s="76" t="s">
        <v>372</v>
      </c>
      <c r="K110" s="76" t="s">
        <v>71</v>
      </c>
      <c r="L110" s="76" t="s">
        <v>418</v>
      </c>
      <c r="M110" s="76" t="s">
        <v>156</v>
      </c>
      <c r="N110" s="76" t="s">
        <v>74</v>
      </c>
      <c r="O110" s="76" t="s">
        <v>419</v>
      </c>
      <c r="P110" s="76">
        <v>1</v>
      </c>
      <c r="Q110" s="76">
        <v>0</v>
      </c>
      <c r="R110" s="76">
        <v>1</v>
      </c>
      <c r="S110" s="76" t="s">
        <v>476</v>
      </c>
      <c r="T110" s="76" t="s">
        <v>76</v>
      </c>
      <c r="U110" s="76" t="s">
        <v>76</v>
      </c>
      <c r="V110" s="76">
        <v>21212800</v>
      </c>
      <c r="W110" s="76" t="s">
        <v>369</v>
      </c>
      <c r="X110" s="76" t="s">
        <v>90</v>
      </c>
      <c r="Y110" s="76">
        <v>17</v>
      </c>
      <c r="Z110" s="76" t="s">
        <v>420</v>
      </c>
      <c r="AA110" s="76" t="s">
        <v>80</v>
      </c>
      <c r="AB110" s="76">
        <v>1</v>
      </c>
      <c r="AC110" s="76" t="s">
        <v>80</v>
      </c>
      <c r="AD110" s="77" t="s">
        <v>77</v>
      </c>
      <c r="AE110" s="77" t="s">
        <v>77</v>
      </c>
    </row>
    <row r="111" spans="1:31" x14ac:dyDescent="0.2">
      <c r="A111" s="76" t="s">
        <v>369</v>
      </c>
      <c r="B111" s="76" t="s">
        <v>64</v>
      </c>
      <c r="C111" s="76" t="s">
        <v>82</v>
      </c>
      <c r="D111" s="76" t="s">
        <v>370</v>
      </c>
      <c r="E111" s="74" t="s">
        <v>371</v>
      </c>
      <c r="F111" s="75">
        <v>46037</v>
      </c>
      <c r="G111" s="77">
        <v>46067</v>
      </c>
      <c r="H111" s="76" t="s">
        <v>68</v>
      </c>
      <c r="I111" s="76" t="s">
        <v>181</v>
      </c>
      <c r="J111" s="76" t="s">
        <v>372</v>
      </c>
      <c r="K111" s="76" t="s">
        <v>71</v>
      </c>
      <c r="L111" s="76" t="s">
        <v>421</v>
      </c>
      <c r="M111" s="76" t="s">
        <v>156</v>
      </c>
      <c r="N111" s="76" t="s">
        <v>74</v>
      </c>
      <c r="O111" s="76" t="s">
        <v>422</v>
      </c>
      <c r="P111" s="76">
        <v>1</v>
      </c>
      <c r="Q111" s="76">
        <v>1</v>
      </c>
      <c r="R111" s="76">
        <v>0</v>
      </c>
      <c r="S111" s="76" t="s">
        <v>76</v>
      </c>
      <c r="T111" s="76" t="s">
        <v>76</v>
      </c>
      <c r="U111" s="76" t="s">
        <v>76</v>
      </c>
      <c r="V111" s="76">
        <v>21212800</v>
      </c>
      <c r="W111" s="76" t="s">
        <v>369</v>
      </c>
      <c r="X111" s="76" t="s">
        <v>90</v>
      </c>
      <c r="Y111" s="76">
        <v>18</v>
      </c>
      <c r="Z111" s="76" t="s">
        <v>423</v>
      </c>
      <c r="AA111" s="76" t="s">
        <v>80</v>
      </c>
      <c r="AB111" s="76">
        <v>1</v>
      </c>
      <c r="AC111" s="76" t="s">
        <v>80</v>
      </c>
      <c r="AD111" s="77" t="s">
        <v>77</v>
      </c>
      <c r="AE111" s="77" t="s">
        <v>77</v>
      </c>
    </row>
    <row r="112" spans="1:31" x14ac:dyDescent="0.2">
      <c r="A112" s="76" t="s">
        <v>369</v>
      </c>
      <c r="B112" s="76" t="s">
        <v>64</v>
      </c>
      <c r="C112" s="76" t="s">
        <v>82</v>
      </c>
      <c r="D112" s="76" t="s">
        <v>370</v>
      </c>
      <c r="E112" s="74" t="s">
        <v>371</v>
      </c>
      <c r="F112" s="75">
        <v>46037</v>
      </c>
      <c r="G112" s="77">
        <v>46067</v>
      </c>
      <c r="H112" s="76" t="s">
        <v>68</v>
      </c>
      <c r="I112" s="76" t="s">
        <v>181</v>
      </c>
      <c r="J112" s="76" t="s">
        <v>372</v>
      </c>
      <c r="K112" s="76" t="s">
        <v>71</v>
      </c>
      <c r="L112" s="76" t="s">
        <v>424</v>
      </c>
      <c r="M112" s="76" t="s">
        <v>156</v>
      </c>
      <c r="N112" s="76" t="s">
        <v>74</v>
      </c>
      <c r="O112" s="76" t="s">
        <v>425</v>
      </c>
      <c r="P112" s="76">
        <v>1</v>
      </c>
      <c r="Q112" s="76">
        <v>1</v>
      </c>
      <c r="R112" s="76">
        <v>0</v>
      </c>
      <c r="S112" s="76" t="s">
        <v>76</v>
      </c>
      <c r="T112" s="76" t="s">
        <v>76</v>
      </c>
      <c r="U112" s="76" t="s">
        <v>76</v>
      </c>
      <c r="V112" s="76">
        <v>21212800</v>
      </c>
      <c r="W112" s="76" t="s">
        <v>369</v>
      </c>
      <c r="X112" s="76" t="s">
        <v>90</v>
      </c>
      <c r="Y112" s="76">
        <v>19</v>
      </c>
      <c r="Z112" s="76" t="s">
        <v>426</v>
      </c>
      <c r="AA112" s="76" t="s">
        <v>80</v>
      </c>
      <c r="AB112" s="76">
        <v>1</v>
      </c>
      <c r="AC112" s="76" t="s">
        <v>80</v>
      </c>
      <c r="AD112" s="77" t="s">
        <v>77</v>
      </c>
      <c r="AE112" s="77" t="s">
        <v>77</v>
      </c>
    </row>
    <row r="113" spans="1:31" x14ac:dyDescent="0.2">
      <c r="A113" s="76" t="s">
        <v>369</v>
      </c>
      <c r="B113" s="76" t="s">
        <v>64</v>
      </c>
      <c r="C113" s="76" t="s">
        <v>82</v>
      </c>
      <c r="D113" s="76" t="s">
        <v>370</v>
      </c>
      <c r="E113" s="74" t="s">
        <v>371</v>
      </c>
      <c r="F113" s="75">
        <v>46037</v>
      </c>
      <c r="G113" s="77">
        <v>46067</v>
      </c>
      <c r="H113" s="76" t="s">
        <v>68</v>
      </c>
      <c r="I113" s="76" t="s">
        <v>181</v>
      </c>
      <c r="J113" s="76" t="s">
        <v>372</v>
      </c>
      <c r="K113" s="76" t="s">
        <v>71</v>
      </c>
      <c r="L113" s="76" t="s">
        <v>427</v>
      </c>
      <c r="M113" s="76" t="s">
        <v>104</v>
      </c>
      <c r="N113" s="76" t="s">
        <v>105</v>
      </c>
      <c r="O113" s="76" t="s">
        <v>428</v>
      </c>
      <c r="P113" s="76">
        <v>1</v>
      </c>
      <c r="Q113" s="76">
        <v>1</v>
      </c>
      <c r="R113" s="76">
        <v>0</v>
      </c>
      <c r="S113" s="76" t="s">
        <v>76</v>
      </c>
      <c r="T113" s="76" t="s">
        <v>76</v>
      </c>
      <c r="U113" s="76" t="s">
        <v>76</v>
      </c>
      <c r="V113" s="76">
        <v>21212800</v>
      </c>
      <c r="W113" s="76" t="s">
        <v>369</v>
      </c>
      <c r="X113" s="76" t="s">
        <v>90</v>
      </c>
      <c r="Y113" s="76">
        <v>20</v>
      </c>
      <c r="Z113" s="76" t="s">
        <v>429</v>
      </c>
      <c r="AA113" s="76" t="s">
        <v>80</v>
      </c>
      <c r="AB113" s="76">
        <v>1</v>
      </c>
      <c r="AC113" s="76" t="s">
        <v>80</v>
      </c>
      <c r="AD113" s="77" t="s">
        <v>77</v>
      </c>
      <c r="AE113" s="77" t="s">
        <v>77</v>
      </c>
    </row>
    <row r="114" spans="1:31" x14ac:dyDescent="0.2">
      <c r="A114" s="76" t="s">
        <v>369</v>
      </c>
      <c r="B114" s="76" t="s">
        <v>64</v>
      </c>
      <c r="C114" s="76" t="s">
        <v>82</v>
      </c>
      <c r="D114" s="76" t="s">
        <v>370</v>
      </c>
      <c r="E114" s="74" t="s">
        <v>371</v>
      </c>
      <c r="F114" s="75">
        <v>46037</v>
      </c>
      <c r="G114" s="77">
        <v>46067</v>
      </c>
      <c r="H114" s="76" t="s">
        <v>68</v>
      </c>
      <c r="I114" s="76" t="s">
        <v>181</v>
      </c>
      <c r="J114" s="76" t="s">
        <v>372</v>
      </c>
      <c r="K114" s="76" t="s">
        <v>71</v>
      </c>
      <c r="L114" s="76" t="s">
        <v>430</v>
      </c>
      <c r="M114" s="76" t="s">
        <v>217</v>
      </c>
      <c r="N114" s="76" t="s">
        <v>218</v>
      </c>
      <c r="O114" s="76" t="s">
        <v>431</v>
      </c>
      <c r="P114" s="76">
        <v>1</v>
      </c>
      <c r="Q114" s="76">
        <v>1</v>
      </c>
      <c r="R114" s="76">
        <v>0</v>
      </c>
      <c r="S114" s="76" t="s">
        <v>76</v>
      </c>
      <c r="T114" s="76" t="s">
        <v>76</v>
      </c>
      <c r="U114" s="76" t="s">
        <v>76</v>
      </c>
      <c r="V114" s="76">
        <v>21212800</v>
      </c>
      <c r="W114" s="76" t="s">
        <v>369</v>
      </c>
      <c r="X114" s="76" t="s">
        <v>90</v>
      </c>
      <c r="Y114" s="76">
        <v>21</v>
      </c>
      <c r="Z114" s="76" t="s">
        <v>432</v>
      </c>
      <c r="AA114" s="76" t="s">
        <v>80</v>
      </c>
      <c r="AB114" s="76">
        <v>1</v>
      </c>
      <c r="AC114" s="76" t="s">
        <v>80</v>
      </c>
      <c r="AD114" s="77" t="s">
        <v>77</v>
      </c>
      <c r="AE114" s="77" t="s">
        <v>77</v>
      </c>
    </row>
    <row r="115" spans="1:31" x14ac:dyDescent="0.2">
      <c r="A115" s="76" t="s">
        <v>369</v>
      </c>
      <c r="B115" s="76" t="s">
        <v>64</v>
      </c>
      <c r="C115" s="76" t="s">
        <v>82</v>
      </c>
      <c r="D115" s="76" t="s">
        <v>370</v>
      </c>
      <c r="E115" s="74" t="s">
        <v>371</v>
      </c>
      <c r="F115" s="75">
        <v>46037</v>
      </c>
      <c r="G115" s="77">
        <v>46067</v>
      </c>
      <c r="H115" s="76" t="s">
        <v>68</v>
      </c>
      <c r="I115" s="76" t="s">
        <v>181</v>
      </c>
      <c r="J115" s="76" t="s">
        <v>372</v>
      </c>
      <c r="K115" s="76" t="s">
        <v>71</v>
      </c>
      <c r="L115" s="76" t="s">
        <v>433</v>
      </c>
      <c r="M115" s="76" t="s">
        <v>217</v>
      </c>
      <c r="N115" s="76" t="s">
        <v>218</v>
      </c>
      <c r="O115" s="76" t="s">
        <v>434</v>
      </c>
      <c r="P115" s="76">
        <v>1</v>
      </c>
      <c r="Q115" s="76">
        <v>1</v>
      </c>
      <c r="R115" s="76">
        <v>0</v>
      </c>
      <c r="S115" s="76" t="s">
        <v>76</v>
      </c>
      <c r="T115" s="76" t="s">
        <v>76</v>
      </c>
      <c r="U115" s="76" t="s">
        <v>76</v>
      </c>
      <c r="V115" s="76">
        <v>21212800</v>
      </c>
      <c r="W115" s="76" t="s">
        <v>369</v>
      </c>
      <c r="X115" s="76" t="s">
        <v>90</v>
      </c>
      <c r="Y115" s="76">
        <v>22</v>
      </c>
      <c r="Z115" s="76" t="s">
        <v>435</v>
      </c>
      <c r="AA115" s="76" t="s">
        <v>80</v>
      </c>
      <c r="AB115" s="76">
        <v>1</v>
      </c>
      <c r="AC115" s="76" t="s">
        <v>80</v>
      </c>
      <c r="AD115" s="77" t="s">
        <v>77</v>
      </c>
      <c r="AE115" s="77" t="s">
        <v>77</v>
      </c>
    </row>
    <row r="116" spans="1:31" x14ac:dyDescent="0.2">
      <c r="A116" s="76" t="s">
        <v>369</v>
      </c>
      <c r="B116" s="76" t="s">
        <v>64</v>
      </c>
      <c r="C116" s="76" t="s">
        <v>82</v>
      </c>
      <c r="D116" s="76" t="s">
        <v>370</v>
      </c>
      <c r="E116" s="74" t="s">
        <v>371</v>
      </c>
      <c r="F116" s="75">
        <v>46037</v>
      </c>
      <c r="G116" s="77">
        <v>46067</v>
      </c>
      <c r="H116" s="76" t="s">
        <v>68</v>
      </c>
      <c r="I116" s="76" t="s">
        <v>181</v>
      </c>
      <c r="J116" s="76" t="s">
        <v>372</v>
      </c>
      <c r="K116" s="76" t="s">
        <v>71</v>
      </c>
      <c r="L116" s="76" t="s">
        <v>319</v>
      </c>
      <c r="M116" s="76" t="s">
        <v>222</v>
      </c>
      <c r="N116" s="76" t="s">
        <v>223</v>
      </c>
      <c r="O116" s="76" t="s">
        <v>320</v>
      </c>
      <c r="P116" s="76">
        <v>1</v>
      </c>
      <c r="Q116" s="76">
        <v>1</v>
      </c>
      <c r="R116" s="76">
        <v>0</v>
      </c>
      <c r="S116" s="76" t="s">
        <v>76</v>
      </c>
      <c r="T116" s="76" t="s">
        <v>76</v>
      </c>
      <c r="U116" s="76" t="s">
        <v>76</v>
      </c>
      <c r="V116" s="76">
        <v>21212800</v>
      </c>
      <c r="W116" s="76" t="s">
        <v>369</v>
      </c>
      <c r="X116" s="76" t="s">
        <v>90</v>
      </c>
      <c r="Y116" s="76">
        <v>23</v>
      </c>
      <c r="Z116" s="76" t="s">
        <v>321</v>
      </c>
      <c r="AA116" s="76" t="s">
        <v>80</v>
      </c>
      <c r="AB116" s="76">
        <v>1</v>
      </c>
      <c r="AC116" s="76" t="s">
        <v>80</v>
      </c>
      <c r="AD116" s="77" t="s">
        <v>77</v>
      </c>
      <c r="AE116" s="77" t="s">
        <v>77</v>
      </c>
    </row>
    <row r="117" spans="1:31" x14ac:dyDescent="0.2">
      <c r="A117" s="76" t="s">
        <v>369</v>
      </c>
      <c r="B117" s="76" t="s">
        <v>64</v>
      </c>
      <c r="C117" s="76" t="s">
        <v>82</v>
      </c>
      <c r="D117" s="76" t="s">
        <v>370</v>
      </c>
      <c r="E117" s="74" t="s">
        <v>371</v>
      </c>
      <c r="F117" s="75">
        <v>46037</v>
      </c>
      <c r="G117" s="77">
        <v>46067</v>
      </c>
      <c r="H117" s="76" t="s">
        <v>68</v>
      </c>
      <c r="I117" s="76" t="s">
        <v>181</v>
      </c>
      <c r="J117" s="76" t="s">
        <v>372</v>
      </c>
      <c r="K117" s="76" t="s">
        <v>71</v>
      </c>
      <c r="L117" s="76" t="s">
        <v>322</v>
      </c>
      <c r="M117" s="76" t="s">
        <v>323</v>
      </c>
      <c r="N117" s="76" t="s">
        <v>74</v>
      </c>
      <c r="O117" s="76" t="s">
        <v>324</v>
      </c>
      <c r="P117" s="76">
        <v>1</v>
      </c>
      <c r="Q117" s="76">
        <v>1</v>
      </c>
      <c r="R117" s="76">
        <v>0</v>
      </c>
      <c r="S117" s="76" t="s">
        <v>76</v>
      </c>
      <c r="T117" s="76" t="s">
        <v>76</v>
      </c>
      <c r="U117" s="76" t="s">
        <v>76</v>
      </c>
      <c r="V117" s="76">
        <v>21212800</v>
      </c>
      <c r="W117" s="76" t="s">
        <v>369</v>
      </c>
      <c r="X117" s="76" t="s">
        <v>90</v>
      </c>
      <c r="Y117" s="76">
        <v>24</v>
      </c>
      <c r="Z117" s="76" t="s">
        <v>325</v>
      </c>
      <c r="AA117" s="76" t="s">
        <v>80</v>
      </c>
      <c r="AB117" s="76">
        <v>1</v>
      </c>
      <c r="AC117" s="76" t="s">
        <v>80</v>
      </c>
      <c r="AD117" s="77" t="s">
        <v>77</v>
      </c>
      <c r="AE117" s="77" t="s">
        <v>77</v>
      </c>
    </row>
    <row r="118" spans="1:31" x14ac:dyDescent="0.2">
      <c r="A118" s="76" t="s">
        <v>369</v>
      </c>
      <c r="B118" s="76" t="s">
        <v>64</v>
      </c>
      <c r="C118" s="76" t="s">
        <v>82</v>
      </c>
      <c r="D118" s="76" t="s">
        <v>370</v>
      </c>
      <c r="E118" s="74" t="s">
        <v>371</v>
      </c>
      <c r="F118" s="75">
        <v>46037</v>
      </c>
      <c r="G118" s="77">
        <v>46067</v>
      </c>
      <c r="H118" s="76" t="s">
        <v>68</v>
      </c>
      <c r="I118" s="76" t="s">
        <v>181</v>
      </c>
      <c r="J118" s="76" t="s">
        <v>372</v>
      </c>
      <c r="K118" s="76" t="s">
        <v>71</v>
      </c>
      <c r="L118" s="76" t="s">
        <v>326</v>
      </c>
      <c r="M118" s="76" t="s">
        <v>323</v>
      </c>
      <c r="N118" s="76" t="s">
        <v>74</v>
      </c>
      <c r="O118" s="76" t="s">
        <v>327</v>
      </c>
      <c r="P118" s="76">
        <v>1</v>
      </c>
      <c r="Q118" s="76">
        <v>1</v>
      </c>
      <c r="R118" s="76">
        <v>0</v>
      </c>
      <c r="S118" s="76" t="s">
        <v>76</v>
      </c>
      <c r="T118" s="76" t="s">
        <v>76</v>
      </c>
      <c r="U118" s="76" t="s">
        <v>76</v>
      </c>
      <c r="V118" s="76">
        <v>21212800</v>
      </c>
      <c r="W118" s="76" t="s">
        <v>369</v>
      </c>
      <c r="X118" s="76" t="s">
        <v>90</v>
      </c>
      <c r="Y118" s="76">
        <v>25</v>
      </c>
      <c r="Z118" s="76" t="s">
        <v>328</v>
      </c>
      <c r="AA118" s="76" t="s">
        <v>80</v>
      </c>
      <c r="AB118" s="76">
        <v>1</v>
      </c>
      <c r="AC118" s="76" t="s">
        <v>80</v>
      </c>
      <c r="AD118" s="77" t="s">
        <v>77</v>
      </c>
      <c r="AE118" s="77" t="s">
        <v>77</v>
      </c>
    </row>
    <row r="119" spans="1:31" x14ac:dyDescent="0.2">
      <c r="A119" s="76" t="s">
        <v>369</v>
      </c>
      <c r="B119" s="76" t="s">
        <v>64</v>
      </c>
      <c r="C119" s="76" t="s">
        <v>82</v>
      </c>
      <c r="D119" s="76" t="s">
        <v>370</v>
      </c>
      <c r="E119" s="74" t="s">
        <v>371</v>
      </c>
      <c r="F119" s="75">
        <v>46037</v>
      </c>
      <c r="G119" s="77">
        <v>46067</v>
      </c>
      <c r="H119" s="76" t="s">
        <v>68</v>
      </c>
      <c r="I119" s="76" t="s">
        <v>181</v>
      </c>
      <c r="J119" s="76" t="s">
        <v>372</v>
      </c>
      <c r="K119" s="76" t="s">
        <v>71</v>
      </c>
      <c r="L119" s="76" t="s">
        <v>436</v>
      </c>
      <c r="M119" s="76" t="s">
        <v>227</v>
      </c>
      <c r="N119" s="76" t="s">
        <v>228</v>
      </c>
      <c r="O119" s="76" t="s">
        <v>437</v>
      </c>
      <c r="P119" s="76">
        <v>1</v>
      </c>
      <c r="Q119" s="76">
        <v>1</v>
      </c>
      <c r="R119" s="76">
        <v>0</v>
      </c>
      <c r="S119" s="76" t="s">
        <v>76</v>
      </c>
      <c r="T119" s="76" t="s">
        <v>76</v>
      </c>
      <c r="U119" s="76" t="s">
        <v>76</v>
      </c>
      <c r="V119" s="76">
        <v>21212800</v>
      </c>
      <c r="W119" s="76" t="s">
        <v>369</v>
      </c>
      <c r="X119" s="76" t="s">
        <v>90</v>
      </c>
      <c r="Y119" s="76">
        <v>26</v>
      </c>
      <c r="Z119" s="76" t="s">
        <v>438</v>
      </c>
      <c r="AA119" s="76" t="s">
        <v>80</v>
      </c>
      <c r="AB119" s="76">
        <v>1</v>
      </c>
      <c r="AC119" s="76" t="s">
        <v>80</v>
      </c>
      <c r="AD119" s="77" t="s">
        <v>77</v>
      </c>
      <c r="AE119" s="77" t="s">
        <v>77</v>
      </c>
    </row>
    <row r="120" spans="1:31" x14ac:dyDescent="0.2">
      <c r="A120" s="76" t="s">
        <v>369</v>
      </c>
      <c r="B120" s="76" t="s">
        <v>64</v>
      </c>
      <c r="C120" s="76" t="s">
        <v>82</v>
      </c>
      <c r="D120" s="76" t="s">
        <v>370</v>
      </c>
      <c r="E120" s="74" t="s">
        <v>371</v>
      </c>
      <c r="F120" s="75">
        <v>46037</v>
      </c>
      <c r="G120" s="77">
        <v>46067</v>
      </c>
      <c r="H120" s="76" t="s">
        <v>68</v>
      </c>
      <c r="I120" s="76" t="s">
        <v>181</v>
      </c>
      <c r="J120" s="76" t="s">
        <v>372</v>
      </c>
      <c r="K120" s="76" t="s">
        <v>71</v>
      </c>
      <c r="L120" s="76" t="s">
        <v>439</v>
      </c>
      <c r="M120" s="76" t="s">
        <v>333</v>
      </c>
      <c r="N120" s="76" t="s">
        <v>251</v>
      </c>
      <c r="O120" s="76" t="s">
        <v>440</v>
      </c>
      <c r="P120" s="76">
        <v>1</v>
      </c>
      <c r="Q120" s="76">
        <v>1</v>
      </c>
      <c r="R120" s="76">
        <v>0</v>
      </c>
      <c r="S120" s="76" t="s">
        <v>76</v>
      </c>
      <c r="T120" s="76" t="s">
        <v>76</v>
      </c>
      <c r="U120" s="76" t="s">
        <v>76</v>
      </c>
      <c r="V120" s="76">
        <v>21212800</v>
      </c>
      <c r="W120" s="76" t="s">
        <v>369</v>
      </c>
      <c r="X120" s="76" t="s">
        <v>90</v>
      </c>
      <c r="Y120" s="76">
        <v>27</v>
      </c>
      <c r="Z120" s="76" t="s">
        <v>441</v>
      </c>
      <c r="AA120" s="76" t="s">
        <v>80</v>
      </c>
      <c r="AB120" s="76">
        <v>1</v>
      </c>
      <c r="AC120" s="76" t="s">
        <v>80</v>
      </c>
      <c r="AD120" s="77" t="s">
        <v>77</v>
      </c>
      <c r="AE120" s="77" t="s">
        <v>77</v>
      </c>
    </row>
    <row r="121" spans="1:31" x14ac:dyDescent="0.2">
      <c r="A121" s="76" t="s">
        <v>369</v>
      </c>
      <c r="B121" s="76" t="s">
        <v>64</v>
      </c>
      <c r="C121" s="76" t="s">
        <v>82</v>
      </c>
      <c r="D121" s="76" t="s">
        <v>370</v>
      </c>
      <c r="E121" s="74" t="s">
        <v>371</v>
      </c>
      <c r="F121" s="75">
        <v>46037</v>
      </c>
      <c r="G121" s="77">
        <v>46067</v>
      </c>
      <c r="H121" s="76" t="s">
        <v>68</v>
      </c>
      <c r="I121" s="76" t="s">
        <v>181</v>
      </c>
      <c r="J121" s="76" t="s">
        <v>372</v>
      </c>
      <c r="K121" s="76" t="s">
        <v>71</v>
      </c>
      <c r="L121" s="76" t="s">
        <v>442</v>
      </c>
      <c r="M121" s="76" t="s">
        <v>337</v>
      </c>
      <c r="N121" s="76" t="s">
        <v>338</v>
      </c>
      <c r="O121" s="76" t="s">
        <v>443</v>
      </c>
      <c r="P121" s="76">
        <v>1</v>
      </c>
      <c r="Q121" s="76">
        <v>1</v>
      </c>
      <c r="R121" s="76">
        <v>0</v>
      </c>
      <c r="S121" s="76" t="s">
        <v>76</v>
      </c>
      <c r="T121" s="76" t="s">
        <v>76</v>
      </c>
      <c r="U121" s="76" t="s">
        <v>76</v>
      </c>
      <c r="V121" s="76">
        <v>21212800</v>
      </c>
      <c r="W121" s="76" t="s">
        <v>369</v>
      </c>
      <c r="X121" s="76" t="s">
        <v>90</v>
      </c>
      <c r="Y121" s="76">
        <v>28</v>
      </c>
      <c r="Z121" s="76" t="s">
        <v>444</v>
      </c>
      <c r="AA121" s="76" t="s">
        <v>80</v>
      </c>
      <c r="AB121" s="76">
        <v>1</v>
      </c>
      <c r="AC121" s="76" t="s">
        <v>80</v>
      </c>
      <c r="AD121" s="77" t="s">
        <v>77</v>
      </c>
      <c r="AE121" s="77" t="s">
        <v>77</v>
      </c>
    </row>
    <row r="122" spans="1:31" x14ac:dyDescent="0.2">
      <c r="A122" s="76" t="s">
        <v>369</v>
      </c>
      <c r="B122" s="76" t="s">
        <v>64</v>
      </c>
      <c r="C122" s="76" t="s">
        <v>82</v>
      </c>
      <c r="D122" s="76" t="s">
        <v>370</v>
      </c>
      <c r="E122" s="74" t="s">
        <v>371</v>
      </c>
      <c r="F122" s="75">
        <v>46037</v>
      </c>
      <c r="G122" s="77">
        <v>46067</v>
      </c>
      <c r="H122" s="76" t="s">
        <v>68</v>
      </c>
      <c r="I122" s="76" t="s">
        <v>181</v>
      </c>
      <c r="J122" s="76" t="s">
        <v>372</v>
      </c>
      <c r="K122" s="76" t="s">
        <v>71</v>
      </c>
      <c r="L122" s="76" t="s">
        <v>445</v>
      </c>
      <c r="M122" s="76" t="s">
        <v>232</v>
      </c>
      <c r="N122" s="76" t="s">
        <v>233</v>
      </c>
      <c r="O122" s="76" t="s">
        <v>446</v>
      </c>
      <c r="P122" s="76">
        <v>1</v>
      </c>
      <c r="Q122" s="76">
        <v>1</v>
      </c>
      <c r="R122" s="76">
        <v>0</v>
      </c>
      <c r="S122" s="76" t="s">
        <v>76</v>
      </c>
      <c r="T122" s="76" t="s">
        <v>76</v>
      </c>
      <c r="U122" s="76" t="s">
        <v>76</v>
      </c>
      <c r="V122" s="76">
        <v>21212800</v>
      </c>
      <c r="W122" s="76" t="s">
        <v>369</v>
      </c>
      <c r="X122" s="76" t="s">
        <v>90</v>
      </c>
      <c r="Y122" s="76">
        <v>29</v>
      </c>
      <c r="Z122" s="76" t="s">
        <v>447</v>
      </c>
      <c r="AA122" s="76" t="s">
        <v>80</v>
      </c>
      <c r="AB122" s="76">
        <v>1</v>
      </c>
      <c r="AC122" s="76" t="s">
        <v>80</v>
      </c>
      <c r="AD122" s="77" t="s">
        <v>77</v>
      </c>
      <c r="AE122" s="77" t="s">
        <v>77</v>
      </c>
    </row>
    <row r="123" spans="1:31" x14ac:dyDescent="0.2">
      <c r="A123" s="76" t="s">
        <v>369</v>
      </c>
      <c r="B123" s="76" t="s">
        <v>64</v>
      </c>
      <c r="C123" s="76" t="s">
        <v>82</v>
      </c>
      <c r="D123" s="76" t="s">
        <v>370</v>
      </c>
      <c r="E123" s="74" t="s">
        <v>371</v>
      </c>
      <c r="F123" s="75">
        <v>46037</v>
      </c>
      <c r="G123" s="77">
        <v>46067</v>
      </c>
      <c r="H123" s="76" t="s">
        <v>68</v>
      </c>
      <c r="I123" s="76" t="s">
        <v>181</v>
      </c>
      <c r="J123" s="76" t="s">
        <v>372</v>
      </c>
      <c r="K123" s="76" t="s">
        <v>71</v>
      </c>
      <c r="L123" s="76" t="s">
        <v>448</v>
      </c>
      <c r="M123" s="76" t="s">
        <v>232</v>
      </c>
      <c r="N123" s="76" t="s">
        <v>233</v>
      </c>
      <c r="O123" s="76" t="s">
        <v>449</v>
      </c>
      <c r="P123" s="76">
        <v>1</v>
      </c>
      <c r="Q123" s="76">
        <v>1</v>
      </c>
      <c r="R123" s="76">
        <v>0</v>
      </c>
      <c r="S123" s="76" t="s">
        <v>76</v>
      </c>
      <c r="T123" s="76" t="s">
        <v>76</v>
      </c>
      <c r="U123" s="76" t="s">
        <v>76</v>
      </c>
      <c r="V123" s="76">
        <v>21212800</v>
      </c>
      <c r="W123" s="76" t="s">
        <v>369</v>
      </c>
      <c r="X123" s="76" t="s">
        <v>90</v>
      </c>
      <c r="Y123" s="76">
        <v>30</v>
      </c>
      <c r="Z123" s="76" t="s">
        <v>450</v>
      </c>
      <c r="AA123" s="76" t="s">
        <v>80</v>
      </c>
      <c r="AB123" s="76">
        <v>1</v>
      </c>
      <c r="AC123" s="76" t="s">
        <v>80</v>
      </c>
      <c r="AD123" s="77" t="s">
        <v>77</v>
      </c>
      <c r="AE123" s="77" t="s">
        <v>77</v>
      </c>
    </row>
    <row r="124" spans="1:31" x14ac:dyDescent="0.2">
      <c r="A124" s="76" t="s">
        <v>369</v>
      </c>
      <c r="B124" s="76" t="s">
        <v>64</v>
      </c>
      <c r="C124" s="76" t="s">
        <v>82</v>
      </c>
      <c r="D124" s="76" t="s">
        <v>370</v>
      </c>
      <c r="E124" s="74" t="s">
        <v>371</v>
      </c>
      <c r="F124" s="75">
        <v>46037</v>
      </c>
      <c r="G124" s="77">
        <v>46067</v>
      </c>
      <c r="H124" s="76" t="s">
        <v>68</v>
      </c>
      <c r="I124" s="76" t="s">
        <v>181</v>
      </c>
      <c r="J124" s="76" t="s">
        <v>372</v>
      </c>
      <c r="K124" s="76" t="s">
        <v>71</v>
      </c>
      <c r="L124" s="76" t="s">
        <v>451</v>
      </c>
      <c r="M124" s="76" t="s">
        <v>232</v>
      </c>
      <c r="N124" s="76" t="s">
        <v>233</v>
      </c>
      <c r="O124" s="76" t="s">
        <v>452</v>
      </c>
      <c r="P124" s="76">
        <v>1</v>
      </c>
      <c r="Q124" s="76">
        <v>1</v>
      </c>
      <c r="R124" s="76">
        <v>0</v>
      </c>
      <c r="S124" s="76" t="s">
        <v>76</v>
      </c>
      <c r="T124" s="76" t="s">
        <v>76</v>
      </c>
      <c r="U124" s="76" t="s">
        <v>76</v>
      </c>
      <c r="V124" s="76">
        <v>21212800</v>
      </c>
      <c r="W124" s="76" t="s">
        <v>369</v>
      </c>
      <c r="X124" s="76" t="s">
        <v>90</v>
      </c>
      <c r="Y124" s="76">
        <v>31</v>
      </c>
      <c r="Z124" s="76" t="s">
        <v>453</v>
      </c>
      <c r="AA124" s="76" t="s">
        <v>80</v>
      </c>
      <c r="AB124" s="76">
        <v>1</v>
      </c>
      <c r="AC124" s="76" t="s">
        <v>80</v>
      </c>
      <c r="AD124" s="77" t="s">
        <v>77</v>
      </c>
      <c r="AE124" s="77" t="s">
        <v>77</v>
      </c>
    </row>
    <row r="125" spans="1:31" x14ac:dyDescent="0.2">
      <c r="A125" s="76" t="s">
        <v>369</v>
      </c>
      <c r="B125" s="76" t="s">
        <v>64</v>
      </c>
      <c r="C125" s="76" t="s">
        <v>82</v>
      </c>
      <c r="D125" s="76" t="s">
        <v>370</v>
      </c>
      <c r="E125" s="74" t="s">
        <v>371</v>
      </c>
      <c r="F125" s="75">
        <v>46037</v>
      </c>
      <c r="G125" s="77">
        <v>46067</v>
      </c>
      <c r="H125" s="76" t="s">
        <v>68</v>
      </c>
      <c r="I125" s="76" t="s">
        <v>181</v>
      </c>
      <c r="J125" s="76" t="s">
        <v>372</v>
      </c>
      <c r="K125" s="76" t="s">
        <v>71</v>
      </c>
      <c r="L125" s="76" t="s">
        <v>454</v>
      </c>
      <c r="M125" s="76" t="s">
        <v>240</v>
      </c>
      <c r="N125" s="76" t="s">
        <v>241</v>
      </c>
      <c r="O125" s="76" t="s">
        <v>455</v>
      </c>
      <c r="P125" s="76">
        <v>1</v>
      </c>
      <c r="Q125" s="76">
        <v>1</v>
      </c>
      <c r="R125" s="76">
        <v>0</v>
      </c>
      <c r="S125" s="76" t="s">
        <v>76</v>
      </c>
      <c r="T125" s="76" t="s">
        <v>76</v>
      </c>
      <c r="U125" s="76" t="s">
        <v>76</v>
      </c>
      <c r="V125" s="76">
        <v>21212800</v>
      </c>
      <c r="W125" s="76" t="s">
        <v>369</v>
      </c>
      <c r="X125" s="76" t="s">
        <v>90</v>
      </c>
      <c r="Y125" s="76">
        <v>32</v>
      </c>
      <c r="Z125" s="76" t="s">
        <v>456</v>
      </c>
      <c r="AA125" s="76" t="s">
        <v>80</v>
      </c>
      <c r="AB125" s="76">
        <v>1</v>
      </c>
      <c r="AC125" s="76" t="s">
        <v>80</v>
      </c>
      <c r="AD125" s="77" t="s">
        <v>77</v>
      </c>
      <c r="AE125" s="77" t="s">
        <v>77</v>
      </c>
    </row>
    <row r="126" spans="1:31" x14ac:dyDescent="0.2">
      <c r="A126" s="76" t="s">
        <v>369</v>
      </c>
      <c r="B126" s="76" t="s">
        <v>64</v>
      </c>
      <c r="C126" s="76" t="s">
        <v>82</v>
      </c>
      <c r="D126" s="76" t="s">
        <v>370</v>
      </c>
      <c r="E126" s="74" t="s">
        <v>371</v>
      </c>
      <c r="F126" s="75">
        <v>46037</v>
      </c>
      <c r="G126" s="77">
        <v>46067</v>
      </c>
      <c r="H126" s="76" t="s">
        <v>68</v>
      </c>
      <c r="I126" s="76" t="s">
        <v>181</v>
      </c>
      <c r="J126" s="76" t="s">
        <v>372</v>
      </c>
      <c r="K126" s="76" t="s">
        <v>71</v>
      </c>
      <c r="L126" s="76" t="s">
        <v>457</v>
      </c>
      <c r="M126" s="76" t="s">
        <v>240</v>
      </c>
      <c r="N126" s="76" t="s">
        <v>241</v>
      </c>
      <c r="O126" s="76" t="s">
        <v>458</v>
      </c>
      <c r="P126" s="76">
        <v>1</v>
      </c>
      <c r="Q126" s="76">
        <v>1</v>
      </c>
      <c r="R126" s="76">
        <v>0</v>
      </c>
      <c r="S126" s="76" t="s">
        <v>76</v>
      </c>
      <c r="T126" s="76" t="s">
        <v>76</v>
      </c>
      <c r="U126" s="76" t="s">
        <v>76</v>
      </c>
      <c r="V126" s="76">
        <v>21212800</v>
      </c>
      <c r="W126" s="76" t="s">
        <v>369</v>
      </c>
      <c r="X126" s="76" t="s">
        <v>90</v>
      </c>
      <c r="Y126" s="76">
        <v>33</v>
      </c>
      <c r="Z126" s="76" t="s">
        <v>459</v>
      </c>
      <c r="AA126" s="76" t="s">
        <v>80</v>
      </c>
      <c r="AB126" s="76">
        <v>1</v>
      </c>
      <c r="AC126" s="76" t="s">
        <v>80</v>
      </c>
      <c r="AD126" s="77" t="s">
        <v>77</v>
      </c>
      <c r="AE126" s="77" t="s">
        <v>77</v>
      </c>
    </row>
    <row r="127" spans="1:31" x14ac:dyDescent="0.2">
      <c r="A127" s="76" t="s">
        <v>369</v>
      </c>
      <c r="B127" s="76" t="s">
        <v>64</v>
      </c>
      <c r="C127" s="76" t="s">
        <v>82</v>
      </c>
      <c r="D127" s="76" t="s">
        <v>370</v>
      </c>
      <c r="E127" s="74" t="s">
        <v>371</v>
      </c>
      <c r="F127" s="75">
        <v>46037</v>
      </c>
      <c r="G127" s="77">
        <v>46067</v>
      </c>
      <c r="H127" s="76" t="s">
        <v>68</v>
      </c>
      <c r="I127" s="76" t="s">
        <v>181</v>
      </c>
      <c r="J127" s="76" t="s">
        <v>372</v>
      </c>
      <c r="K127" s="76" t="s">
        <v>71</v>
      </c>
      <c r="L127" s="76" t="s">
        <v>460</v>
      </c>
      <c r="M127" s="76" t="s">
        <v>245</v>
      </c>
      <c r="N127" s="76" t="s">
        <v>246</v>
      </c>
      <c r="O127" s="76" t="s">
        <v>461</v>
      </c>
      <c r="P127" s="76">
        <v>1</v>
      </c>
      <c r="Q127" s="76">
        <v>1</v>
      </c>
      <c r="R127" s="76">
        <v>0</v>
      </c>
      <c r="S127" s="76" t="s">
        <v>76</v>
      </c>
      <c r="T127" s="76" t="s">
        <v>76</v>
      </c>
      <c r="U127" s="76" t="s">
        <v>76</v>
      </c>
      <c r="V127" s="76">
        <v>21212800</v>
      </c>
      <c r="W127" s="76" t="s">
        <v>369</v>
      </c>
      <c r="X127" s="76" t="s">
        <v>90</v>
      </c>
      <c r="Y127" s="76">
        <v>34</v>
      </c>
      <c r="Z127" s="76" t="s">
        <v>462</v>
      </c>
      <c r="AA127" s="76" t="s">
        <v>80</v>
      </c>
      <c r="AB127" s="76">
        <v>1</v>
      </c>
      <c r="AC127" s="76" t="s">
        <v>80</v>
      </c>
      <c r="AD127" s="77" t="s">
        <v>77</v>
      </c>
      <c r="AE127" s="77" t="s">
        <v>77</v>
      </c>
    </row>
    <row r="128" spans="1:31" x14ac:dyDescent="0.2">
      <c r="A128" s="76" t="s">
        <v>369</v>
      </c>
      <c r="B128" s="76" t="s">
        <v>64</v>
      </c>
      <c r="C128" s="76" t="s">
        <v>82</v>
      </c>
      <c r="D128" s="76" t="s">
        <v>370</v>
      </c>
      <c r="E128" s="74" t="s">
        <v>371</v>
      </c>
      <c r="F128" s="75">
        <v>46037</v>
      </c>
      <c r="G128" s="77">
        <v>46067</v>
      </c>
      <c r="H128" s="76" t="s">
        <v>68</v>
      </c>
      <c r="I128" s="76" t="s">
        <v>181</v>
      </c>
      <c r="J128" s="76" t="s">
        <v>372</v>
      </c>
      <c r="K128" s="76" t="s">
        <v>71</v>
      </c>
      <c r="L128" s="76" t="s">
        <v>463</v>
      </c>
      <c r="M128" s="76" t="s">
        <v>245</v>
      </c>
      <c r="N128" s="76" t="s">
        <v>246</v>
      </c>
      <c r="O128" s="76" t="s">
        <v>464</v>
      </c>
      <c r="P128" s="76">
        <v>1</v>
      </c>
      <c r="Q128" s="76">
        <v>1</v>
      </c>
      <c r="R128" s="76">
        <v>0</v>
      </c>
      <c r="S128" s="76" t="s">
        <v>76</v>
      </c>
      <c r="T128" s="76" t="s">
        <v>76</v>
      </c>
      <c r="U128" s="76" t="s">
        <v>76</v>
      </c>
      <c r="V128" s="76">
        <v>21212800</v>
      </c>
      <c r="W128" s="76" t="s">
        <v>369</v>
      </c>
      <c r="X128" s="76" t="s">
        <v>90</v>
      </c>
      <c r="Y128" s="76">
        <v>35</v>
      </c>
      <c r="Z128" s="76" t="s">
        <v>465</v>
      </c>
      <c r="AA128" s="76" t="s">
        <v>80</v>
      </c>
      <c r="AB128" s="76">
        <v>1</v>
      </c>
      <c r="AC128" s="76" t="s">
        <v>80</v>
      </c>
      <c r="AD128" s="77" t="s">
        <v>77</v>
      </c>
      <c r="AE128" s="77" t="s">
        <v>77</v>
      </c>
    </row>
    <row r="129" spans="1:31" x14ac:dyDescent="0.2">
      <c r="A129" s="76" t="s">
        <v>369</v>
      </c>
      <c r="B129" s="76" t="s">
        <v>64</v>
      </c>
      <c r="C129" s="76" t="s">
        <v>82</v>
      </c>
      <c r="D129" s="76" t="s">
        <v>370</v>
      </c>
      <c r="E129" s="74" t="s">
        <v>371</v>
      </c>
      <c r="F129" s="75">
        <v>46037</v>
      </c>
      <c r="G129" s="77">
        <v>46067</v>
      </c>
      <c r="H129" s="76" t="s">
        <v>68</v>
      </c>
      <c r="I129" s="76" t="s">
        <v>181</v>
      </c>
      <c r="J129" s="76" t="s">
        <v>372</v>
      </c>
      <c r="K129" s="76" t="s">
        <v>71</v>
      </c>
      <c r="L129" s="76" t="s">
        <v>466</v>
      </c>
      <c r="M129" s="76" t="s">
        <v>250</v>
      </c>
      <c r="N129" s="76" t="s">
        <v>251</v>
      </c>
      <c r="O129" s="76" t="s">
        <v>467</v>
      </c>
      <c r="P129" s="76">
        <v>1</v>
      </c>
      <c r="Q129" s="76">
        <v>1</v>
      </c>
      <c r="R129" s="76">
        <v>0</v>
      </c>
      <c r="S129" s="76" t="s">
        <v>76</v>
      </c>
      <c r="T129" s="76" t="s">
        <v>76</v>
      </c>
      <c r="U129" s="76" t="s">
        <v>76</v>
      </c>
      <c r="V129" s="76">
        <v>21212800</v>
      </c>
      <c r="W129" s="76" t="s">
        <v>369</v>
      </c>
      <c r="X129" s="76" t="s">
        <v>90</v>
      </c>
      <c r="Y129" s="76">
        <v>36</v>
      </c>
      <c r="Z129" s="76" t="s">
        <v>468</v>
      </c>
      <c r="AA129" s="76" t="s">
        <v>80</v>
      </c>
      <c r="AB129" s="76">
        <v>1</v>
      </c>
      <c r="AC129" s="76" t="s">
        <v>80</v>
      </c>
      <c r="AD129" s="77" t="s">
        <v>77</v>
      </c>
      <c r="AE129" s="77" t="s">
        <v>77</v>
      </c>
    </row>
    <row r="130" spans="1:31" x14ac:dyDescent="0.2">
      <c r="A130" s="76" t="s">
        <v>369</v>
      </c>
      <c r="B130" s="76" t="s">
        <v>64</v>
      </c>
      <c r="C130" s="76" t="s">
        <v>82</v>
      </c>
      <c r="D130" s="76" t="s">
        <v>370</v>
      </c>
      <c r="E130" s="74" t="s">
        <v>371</v>
      </c>
      <c r="F130" s="75">
        <v>46037</v>
      </c>
      <c r="G130" s="77">
        <v>46067</v>
      </c>
      <c r="H130" s="76" t="s">
        <v>68</v>
      </c>
      <c r="I130" s="76" t="s">
        <v>181</v>
      </c>
      <c r="J130" s="76" t="s">
        <v>372</v>
      </c>
      <c r="K130" s="76" t="s">
        <v>71</v>
      </c>
      <c r="L130" s="76" t="s">
        <v>469</v>
      </c>
      <c r="M130" s="76" t="s">
        <v>255</v>
      </c>
      <c r="N130" s="76" t="s">
        <v>256</v>
      </c>
      <c r="O130" s="76" t="s">
        <v>470</v>
      </c>
      <c r="P130" s="76">
        <v>1</v>
      </c>
      <c r="Q130" s="76">
        <v>1</v>
      </c>
      <c r="R130" s="76">
        <v>0</v>
      </c>
      <c r="S130" s="76" t="s">
        <v>76</v>
      </c>
      <c r="T130" s="76" t="s">
        <v>76</v>
      </c>
      <c r="U130" s="76" t="s">
        <v>76</v>
      </c>
      <c r="V130" s="76">
        <v>21212800</v>
      </c>
      <c r="W130" s="76" t="s">
        <v>369</v>
      </c>
      <c r="X130" s="76" t="s">
        <v>90</v>
      </c>
      <c r="Y130" s="76">
        <v>37</v>
      </c>
      <c r="Z130" s="76" t="s">
        <v>471</v>
      </c>
      <c r="AA130" s="76" t="s">
        <v>80</v>
      </c>
      <c r="AB130" s="76">
        <v>1</v>
      </c>
      <c r="AC130" s="76" t="s">
        <v>80</v>
      </c>
      <c r="AD130" s="77" t="s">
        <v>77</v>
      </c>
      <c r="AE130" s="77" t="s">
        <v>77</v>
      </c>
    </row>
    <row r="131" spans="1:31" x14ac:dyDescent="0.2">
      <c r="A131" s="76" t="s">
        <v>369</v>
      </c>
      <c r="B131" s="76" t="s">
        <v>64</v>
      </c>
      <c r="C131" s="76" t="s">
        <v>82</v>
      </c>
      <c r="D131" s="76" t="s">
        <v>370</v>
      </c>
      <c r="E131" s="74" t="s">
        <v>371</v>
      </c>
      <c r="F131" s="75">
        <v>46037</v>
      </c>
      <c r="G131" s="77">
        <v>46067</v>
      </c>
      <c r="H131" s="76" t="s">
        <v>68</v>
      </c>
      <c r="I131" s="76" t="s">
        <v>181</v>
      </c>
      <c r="J131" s="76" t="s">
        <v>372</v>
      </c>
      <c r="K131" s="76" t="s">
        <v>71</v>
      </c>
      <c r="L131" s="76" t="s">
        <v>365</v>
      </c>
      <c r="M131" s="76" t="s">
        <v>366</v>
      </c>
      <c r="N131" s="76" t="s">
        <v>74</v>
      </c>
      <c r="O131" s="76" t="s">
        <v>367</v>
      </c>
      <c r="P131" s="76">
        <v>1</v>
      </c>
      <c r="Q131" s="76">
        <v>1</v>
      </c>
      <c r="R131" s="76">
        <v>0</v>
      </c>
      <c r="S131" s="76" t="s">
        <v>76</v>
      </c>
      <c r="T131" s="76" t="s">
        <v>76</v>
      </c>
      <c r="U131" s="76" t="s">
        <v>76</v>
      </c>
      <c r="V131" s="76">
        <v>21212800</v>
      </c>
      <c r="W131" s="76" t="s">
        <v>369</v>
      </c>
      <c r="X131" s="76" t="s">
        <v>90</v>
      </c>
      <c r="Y131" s="76">
        <v>38</v>
      </c>
      <c r="Z131" s="76" t="s">
        <v>368</v>
      </c>
      <c r="AA131" s="76" t="s">
        <v>80</v>
      </c>
      <c r="AB131" s="76">
        <v>1</v>
      </c>
      <c r="AC131" s="76" t="s">
        <v>80</v>
      </c>
      <c r="AD131" s="77" t="s">
        <v>77</v>
      </c>
      <c r="AE131" s="77" t="s">
        <v>77</v>
      </c>
    </row>
    <row r="132" spans="1:31" x14ac:dyDescent="0.2">
      <c r="A132" s="76"/>
      <c r="B132" s="76"/>
      <c r="C132" s="76"/>
      <c r="D132" s="76"/>
      <c r="E132" s="76"/>
      <c r="F132" s="77"/>
      <c r="G132" s="77"/>
      <c r="H132" s="76"/>
      <c r="I132" s="76"/>
      <c r="J132" s="76"/>
      <c r="K132" s="76"/>
      <c r="L132" s="76"/>
      <c r="M132" s="76"/>
      <c r="N132" s="76"/>
      <c r="O132" s="76"/>
      <c r="P132" s="76"/>
      <c r="Q132" s="76"/>
      <c r="R132" s="76"/>
      <c r="S132" s="76"/>
      <c r="T132" s="76"/>
      <c r="U132" s="76"/>
      <c r="V132" s="76"/>
      <c r="W132" s="76"/>
      <c r="X132" s="76"/>
      <c r="Y132" s="76"/>
      <c r="Z132" s="76"/>
      <c r="AA132" s="76"/>
      <c r="AB132" s="76"/>
      <c r="AC132" s="76"/>
      <c r="AD132" s="77"/>
      <c r="AE132" s="77"/>
    </row>
    <row r="133" spans="1:31" x14ac:dyDescent="0.2">
      <c r="A133" s="76"/>
      <c r="B133" s="76"/>
      <c r="C133" s="76"/>
      <c r="D133" s="76"/>
      <c r="E133" s="76"/>
      <c r="F133" s="77"/>
      <c r="G133" s="77"/>
      <c r="H133" s="76"/>
      <c r="I133" s="76"/>
      <c r="J133" s="76"/>
      <c r="K133" s="76"/>
      <c r="L133" s="76"/>
      <c r="M133" s="76"/>
      <c r="N133" s="76"/>
      <c r="O133" s="76"/>
      <c r="P133" s="76"/>
      <c r="Q133" s="76"/>
      <c r="R133" s="76"/>
      <c r="S133" s="76"/>
      <c r="T133" s="76"/>
      <c r="U133" s="76"/>
      <c r="V133" s="76"/>
      <c r="W133" s="76"/>
      <c r="X133" s="76"/>
      <c r="Y133" s="76"/>
      <c r="Z133" s="76"/>
      <c r="AA133" s="76"/>
      <c r="AB133" s="76"/>
      <c r="AC133" s="76"/>
      <c r="AD133" s="77"/>
      <c r="AE133" s="77"/>
    </row>
    <row r="134" spans="1:31" x14ac:dyDescent="0.2">
      <c r="A134" s="76"/>
      <c r="B134" s="76"/>
      <c r="C134" s="76"/>
      <c r="D134" s="76"/>
      <c r="E134" s="76"/>
      <c r="F134" s="77"/>
      <c r="G134" s="77"/>
      <c r="H134" s="76"/>
      <c r="I134" s="76"/>
      <c r="J134" s="76"/>
      <c r="K134" s="76"/>
      <c r="L134" s="76"/>
      <c r="M134" s="76"/>
      <c r="N134" s="76"/>
      <c r="O134" s="76"/>
      <c r="P134" s="76"/>
      <c r="Q134" s="76"/>
      <c r="R134" s="76"/>
      <c r="S134" s="76"/>
      <c r="T134" s="76"/>
      <c r="U134" s="76"/>
      <c r="V134" s="76"/>
      <c r="W134" s="76"/>
      <c r="X134" s="76"/>
      <c r="Y134" s="76"/>
      <c r="Z134" s="76"/>
      <c r="AA134" s="76"/>
      <c r="AB134" s="76"/>
      <c r="AC134" s="76"/>
      <c r="AD134" s="77"/>
      <c r="AE134" s="77"/>
    </row>
    <row r="135" spans="1:31" x14ac:dyDescent="0.2">
      <c r="A135" s="76"/>
      <c r="B135" s="76"/>
      <c r="C135" s="76"/>
      <c r="D135" s="76"/>
      <c r="E135" s="76"/>
      <c r="F135" s="77"/>
      <c r="G135" s="77"/>
      <c r="H135" s="76"/>
      <c r="I135" s="76"/>
      <c r="J135" s="76"/>
      <c r="K135" s="76"/>
      <c r="L135" s="76"/>
      <c r="M135" s="76"/>
      <c r="N135" s="76"/>
      <c r="O135" s="76"/>
      <c r="P135" s="76"/>
      <c r="Q135" s="76"/>
      <c r="R135" s="76"/>
      <c r="S135" s="76"/>
      <c r="T135" s="76"/>
      <c r="U135" s="76"/>
      <c r="V135" s="76"/>
      <c r="W135" s="76"/>
      <c r="X135" s="76"/>
      <c r="Y135" s="76"/>
      <c r="Z135" s="76"/>
      <c r="AA135" s="76"/>
      <c r="AB135" s="76"/>
      <c r="AC135" s="76"/>
      <c r="AD135" s="77"/>
      <c r="AE135" s="77"/>
    </row>
    <row r="136" spans="1:31" x14ac:dyDescent="0.2">
      <c r="A136" s="76"/>
      <c r="B136" s="76"/>
      <c r="C136" s="76"/>
      <c r="D136" s="76"/>
      <c r="E136" s="76"/>
      <c r="F136" s="77"/>
      <c r="G136" s="77"/>
      <c r="H136" s="76"/>
      <c r="I136" s="76"/>
      <c r="J136" s="76"/>
      <c r="K136" s="76"/>
      <c r="L136" s="76"/>
      <c r="M136" s="76"/>
      <c r="N136" s="76"/>
      <c r="O136" s="76"/>
      <c r="P136" s="76"/>
      <c r="Q136" s="76"/>
      <c r="R136" s="76"/>
      <c r="S136" s="76"/>
      <c r="T136" s="76"/>
      <c r="U136" s="76"/>
      <c r="V136" s="76"/>
      <c r="W136" s="76"/>
      <c r="X136" s="76"/>
      <c r="Y136" s="76"/>
      <c r="Z136" s="76"/>
      <c r="AA136" s="76"/>
      <c r="AB136" s="76"/>
      <c r="AC136" s="76"/>
      <c r="AD136" s="77"/>
      <c r="AE136" s="77"/>
    </row>
    <row r="137" spans="1:31" x14ac:dyDescent="0.2">
      <c r="A137" s="76"/>
      <c r="B137" s="76"/>
      <c r="C137" s="76"/>
      <c r="D137" s="76"/>
      <c r="E137" s="76"/>
      <c r="F137" s="77"/>
      <c r="G137" s="77"/>
      <c r="H137" s="76"/>
      <c r="I137" s="76"/>
      <c r="J137" s="76"/>
      <c r="K137" s="76"/>
      <c r="L137" s="76"/>
      <c r="M137" s="76"/>
      <c r="N137" s="76"/>
      <c r="O137" s="76"/>
      <c r="P137" s="76"/>
      <c r="Q137" s="76"/>
      <c r="R137" s="76"/>
      <c r="S137" s="76"/>
      <c r="T137" s="76"/>
      <c r="U137" s="76"/>
      <c r="V137" s="76"/>
      <c r="W137" s="76"/>
      <c r="X137" s="76"/>
      <c r="Y137" s="76"/>
      <c r="Z137" s="76"/>
      <c r="AA137" s="76"/>
      <c r="AB137" s="76"/>
      <c r="AC137" s="76"/>
      <c r="AD137" s="77"/>
      <c r="AE137" s="77"/>
    </row>
    <row r="138" spans="1:31" x14ac:dyDescent="0.2">
      <c r="A138" s="76"/>
      <c r="B138" s="76"/>
      <c r="C138" s="76"/>
      <c r="D138" s="76"/>
      <c r="E138" s="76"/>
      <c r="F138" s="77"/>
      <c r="G138" s="77"/>
      <c r="H138" s="76"/>
      <c r="I138" s="76"/>
      <c r="J138" s="76"/>
      <c r="K138" s="76"/>
      <c r="L138" s="76"/>
      <c r="M138" s="76"/>
      <c r="N138" s="76"/>
      <c r="O138" s="76"/>
      <c r="P138" s="76"/>
      <c r="Q138" s="76"/>
      <c r="R138" s="76"/>
      <c r="S138" s="76"/>
      <c r="T138" s="76"/>
      <c r="U138" s="76"/>
      <c r="V138" s="76"/>
      <c r="W138" s="76"/>
      <c r="X138" s="76"/>
      <c r="Y138" s="76"/>
      <c r="Z138" s="76"/>
      <c r="AA138" s="76"/>
      <c r="AB138" s="76"/>
      <c r="AC138" s="76"/>
      <c r="AD138" s="77"/>
      <c r="AE138" s="77"/>
    </row>
    <row r="139" spans="1:31" x14ac:dyDescent="0.2">
      <c r="A139" s="76"/>
      <c r="B139" s="76"/>
      <c r="C139" s="76"/>
      <c r="D139" s="76"/>
      <c r="E139" s="76"/>
      <c r="F139" s="77"/>
      <c r="G139" s="77"/>
      <c r="H139" s="76"/>
      <c r="I139" s="76"/>
      <c r="J139" s="76"/>
      <c r="K139" s="76"/>
      <c r="L139" s="76"/>
      <c r="M139" s="76"/>
      <c r="N139" s="76"/>
      <c r="O139" s="76"/>
      <c r="P139" s="76"/>
      <c r="Q139" s="76"/>
      <c r="R139" s="76"/>
      <c r="S139" s="76"/>
      <c r="T139" s="76"/>
      <c r="U139" s="76"/>
      <c r="V139" s="76"/>
      <c r="W139" s="76"/>
      <c r="X139" s="76"/>
      <c r="Y139" s="76"/>
      <c r="Z139" s="76"/>
      <c r="AA139" s="76"/>
      <c r="AB139" s="76"/>
      <c r="AC139" s="76"/>
      <c r="AD139" s="77"/>
      <c r="AE139" s="77"/>
    </row>
    <row r="140" spans="1:31" x14ac:dyDescent="0.2">
      <c r="A140" s="76"/>
      <c r="B140" s="76"/>
      <c r="C140" s="76"/>
      <c r="D140" s="76"/>
      <c r="E140" s="76"/>
      <c r="F140" s="77"/>
      <c r="G140" s="77"/>
      <c r="H140" s="76"/>
      <c r="I140" s="76"/>
      <c r="J140" s="76"/>
      <c r="K140" s="76"/>
      <c r="L140" s="76"/>
      <c r="M140" s="76"/>
      <c r="N140" s="76"/>
      <c r="O140" s="76"/>
      <c r="P140" s="76"/>
      <c r="Q140" s="76"/>
      <c r="R140" s="76"/>
      <c r="S140" s="76"/>
      <c r="T140" s="76"/>
      <c r="U140" s="76"/>
      <c r="V140" s="76"/>
      <c r="W140" s="76"/>
      <c r="X140" s="76"/>
      <c r="Y140" s="76"/>
      <c r="Z140" s="76"/>
      <c r="AA140" s="76"/>
      <c r="AB140" s="76"/>
      <c r="AC140" s="76"/>
      <c r="AD140" s="77"/>
      <c r="AE140" s="77"/>
    </row>
    <row r="141" spans="1:31" x14ac:dyDescent="0.2">
      <c r="A141" s="76"/>
      <c r="B141" s="76"/>
      <c r="C141" s="76"/>
      <c r="D141" s="76"/>
      <c r="E141" s="76"/>
      <c r="F141" s="77"/>
      <c r="G141" s="77"/>
      <c r="H141" s="76"/>
      <c r="I141" s="76"/>
      <c r="J141" s="76"/>
      <c r="K141" s="76"/>
      <c r="L141" s="76"/>
      <c r="M141" s="76"/>
      <c r="N141" s="76"/>
      <c r="O141" s="76"/>
      <c r="P141" s="76"/>
      <c r="Q141" s="76"/>
      <c r="R141" s="76"/>
      <c r="S141" s="76"/>
      <c r="T141" s="76"/>
      <c r="U141" s="76"/>
      <c r="V141" s="76"/>
      <c r="W141" s="76"/>
      <c r="X141" s="76"/>
      <c r="Y141" s="76"/>
      <c r="Z141" s="76"/>
      <c r="AA141" s="76"/>
      <c r="AB141" s="76"/>
      <c r="AC141" s="76"/>
      <c r="AD141" s="77"/>
      <c r="AE141" s="77"/>
    </row>
    <row r="142" spans="1:31" x14ac:dyDescent="0.2">
      <c r="A142" s="76"/>
      <c r="B142" s="76"/>
      <c r="C142" s="76"/>
      <c r="D142" s="76"/>
      <c r="E142" s="76"/>
      <c r="F142" s="77"/>
      <c r="G142" s="77"/>
      <c r="H142" s="76"/>
      <c r="I142" s="76"/>
      <c r="J142" s="76"/>
      <c r="K142" s="76"/>
      <c r="L142" s="76"/>
      <c r="M142" s="76"/>
      <c r="N142" s="76"/>
      <c r="O142" s="76"/>
      <c r="P142" s="76"/>
      <c r="Q142" s="76"/>
      <c r="R142" s="76"/>
      <c r="S142" s="76"/>
      <c r="T142" s="76"/>
      <c r="U142" s="76"/>
      <c r="V142" s="76"/>
      <c r="W142" s="76"/>
      <c r="X142" s="76"/>
      <c r="Y142" s="76"/>
      <c r="Z142" s="76"/>
      <c r="AA142" s="76"/>
      <c r="AB142" s="76"/>
      <c r="AC142" s="76"/>
      <c r="AD142" s="77"/>
      <c r="AE142" s="77"/>
    </row>
    <row r="143" spans="1:31" x14ac:dyDescent="0.2">
      <c r="A143" s="76"/>
      <c r="B143" s="76"/>
      <c r="C143" s="76"/>
      <c r="D143" s="76"/>
      <c r="E143" s="76"/>
      <c r="F143" s="77"/>
      <c r="G143" s="77"/>
      <c r="H143" s="76"/>
      <c r="I143" s="76"/>
      <c r="J143" s="76"/>
      <c r="K143" s="76"/>
      <c r="L143" s="76"/>
      <c r="M143" s="76"/>
      <c r="N143" s="76"/>
      <c r="O143" s="76"/>
      <c r="P143" s="76"/>
      <c r="Q143" s="76"/>
      <c r="R143" s="76"/>
      <c r="S143" s="76"/>
      <c r="T143" s="76"/>
      <c r="U143" s="76"/>
      <c r="V143" s="76"/>
      <c r="W143" s="76"/>
      <c r="X143" s="76"/>
      <c r="Y143" s="76"/>
      <c r="Z143" s="76"/>
      <c r="AA143" s="76"/>
      <c r="AB143" s="76"/>
      <c r="AC143" s="76"/>
      <c r="AD143" s="77"/>
      <c r="AE143" s="77"/>
    </row>
    <row r="144" spans="1:31" x14ac:dyDescent="0.2">
      <c r="A144" s="76"/>
      <c r="B144" s="76"/>
      <c r="C144" s="76"/>
      <c r="D144" s="76"/>
      <c r="E144" s="76"/>
      <c r="F144" s="77"/>
      <c r="G144" s="77"/>
      <c r="H144" s="76"/>
      <c r="I144" s="76"/>
      <c r="J144" s="76"/>
      <c r="K144" s="76"/>
      <c r="L144" s="76"/>
      <c r="M144" s="76"/>
      <c r="N144" s="76"/>
      <c r="O144" s="76"/>
      <c r="P144" s="76"/>
      <c r="Q144" s="76"/>
      <c r="R144" s="76"/>
      <c r="S144" s="76"/>
      <c r="T144" s="76"/>
      <c r="U144" s="76"/>
      <c r="V144" s="76"/>
      <c r="W144" s="76"/>
      <c r="X144" s="76"/>
      <c r="Y144" s="76"/>
      <c r="Z144" s="76"/>
      <c r="AA144" s="76"/>
      <c r="AB144" s="76"/>
      <c r="AC144" s="76"/>
      <c r="AD144" s="77"/>
      <c r="AE144" s="77"/>
    </row>
    <row r="145" spans="1:31" x14ac:dyDescent="0.2">
      <c r="A145" s="76"/>
      <c r="B145" s="76"/>
      <c r="C145" s="76"/>
      <c r="D145" s="76"/>
      <c r="E145" s="76"/>
      <c r="F145" s="77"/>
      <c r="G145" s="77"/>
      <c r="H145" s="76"/>
      <c r="I145" s="76"/>
      <c r="J145" s="76"/>
      <c r="K145" s="76"/>
      <c r="L145" s="76"/>
      <c r="M145" s="76"/>
      <c r="N145" s="76"/>
      <c r="O145" s="76"/>
      <c r="P145" s="76"/>
      <c r="Q145" s="76"/>
      <c r="R145" s="76"/>
      <c r="S145" s="76"/>
      <c r="T145" s="76"/>
      <c r="U145" s="76"/>
      <c r="V145" s="76"/>
      <c r="W145" s="76"/>
      <c r="X145" s="76"/>
      <c r="Y145" s="76"/>
      <c r="Z145" s="76"/>
      <c r="AA145" s="76"/>
      <c r="AB145" s="76"/>
      <c r="AC145" s="76"/>
      <c r="AD145" s="77"/>
      <c r="AE145" s="77"/>
    </row>
    <row r="146" spans="1:31" x14ac:dyDescent="0.2">
      <c r="A146" s="76"/>
      <c r="B146" s="76"/>
      <c r="C146" s="76"/>
      <c r="D146" s="76"/>
      <c r="E146" s="76"/>
      <c r="F146" s="77"/>
      <c r="G146" s="77"/>
      <c r="H146" s="76"/>
      <c r="I146" s="76"/>
      <c r="J146" s="76"/>
      <c r="K146" s="76"/>
      <c r="L146" s="76"/>
      <c r="M146" s="76"/>
      <c r="N146" s="76"/>
      <c r="O146" s="76"/>
      <c r="P146" s="76"/>
      <c r="Q146" s="76"/>
      <c r="R146" s="76"/>
      <c r="S146" s="76"/>
      <c r="T146" s="76"/>
      <c r="U146" s="76"/>
      <c r="V146" s="76"/>
      <c r="W146" s="76"/>
      <c r="X146" s="76"/>
      <c r="Y146" s="76"/>
      <c r="Z146" s="76"/>
      <c r="AA146" s="76"/>
      <c r="AB146" s="76"/>
      <c r="AC146" s="76"/>
      <c r="AD146" s="77"/>
      <c r="AE146" s="77"/>
    </row>
    <row r="147" spans="1:31" x14ac:dyDescent="0.2">
      <c r="A147" s="76"/>
      <c r="B147" s="76"/>
      <c r="C147" s="76"/>
      <c r="D147" s="76"/>
      <c r="E147" s="76"/>
      <c r="F147" s="77"/>
      <c r="G147" s="77"/>
      <c r="H147" s="76"/>
      <c r="I147" s="76"/>
      <c r="J147" s="76"/>
      <c r="K147" s="76"/>
      <c r="L147" s="76"/>
      <c r="M147" s="76"/>
      <c r="N147" s="76"/>
      <c r="O147" s="76"/>
      <c r="P147" s="76"/>
      <c r="Q147" s="76"/>
      <c r="R147" s="76"/>
      <c r="S147" s="76"/>
      <c r="T147" s="76"/>
      <c r="U147" s="76"/>
      <c r="V147" s="76"/>
      <c r="W147" s="76"/>
      <c r="X147" s="76"/>
      <c r="Y147" s="76"/>
      <c r="Z147" s="76"/>
      <c r="AA147" s="76"/>
      <c r="AB147" s="76"/>
      <c r="AC147" s="76"/>
      <c r="AD147" s="77"/>
      <c r="AE147" s="77"/>
    </row>
    <row r="148" spans="1:31" x14ac:dyDescent="0.2">
      <c r="A148" s="76"/>
      <c r="B148" s="76"/>
      <c r="C148" s="76"/>
      <c r="D148" s="76"/>
      <c r="E148" s="76"/>
      <c r="F148" s="77"/>
      <c r="G148" s="77"/>
      <c r="H148" s="76"/>
      <c r="I148" s="76"/>
      <c r="J148" s="76"/>
      <c r="K148" s="76"/>
      <c r="L148" s="76"/>
      <c r="M148" s="76"/>
      <c r="N148" s="76"/>
      <c r="O148" s="76"/>
      <c r="P148" s="76"/>
      <c r="Q148" s="76"/>
      <c r="R148" s="76"/>
      <c r="S148" s="76"/>
      <c r="T148" s="76"/>
      <c r="U148" s="76"/>
      <c r="V148" s="76"/>
      <c r="W148" s="76"/>
      <c r="X148" s="76"/>
      <c r="Y148" s="76"/>
      <c r="Z148" s="76"/>
      <c r="AA148" s="76"/>
      <c r="AB148" s="76"/>
      <c r="AC148" s="76"/>
      <c r="AD148" s="77"/>
      <c r="AE148" s="77"/>
    </row>
    <row r="149" spans="1:31" x14ac:dyDescent="0.2">
      <c r="A149" s="76"/>
      <c r="B149" s="76"/>
      <c r="C149" s="76"/>
      <c r="D149" s="76"/>
      <c r="E149" s="76"/>
      <c r="F149" s="77"/>
      <c r="G149" s="77"/>
      <c r="H149" s="76"/>
      <c r="I149" s="76"/>
      <c r="J149" s="76"/>
      <c r="K149" s="76"/>
      <c r="L149" s="76"/>
      <c r="M149" s="76"/>
      <c r="N149" s="76"/>
      <c r="O149" s="76"/>
      <c r="P149" s="76"/>
      <c r="Q149" s="76"/>
      <c r="R149" s="76"/>
      <c r="S149" s="76"/>
      <c r="T149" s="76"/>
      <c r="U149" s="76"/>
      <c r="V149" s="76"/>
      <c r="W149" s="76"/>
      <c r="X149" s="76"/>
      <c r="Y149" s="76"/>
      <c r="Z149" s="76"/>
      <c r="AA149" s="76"/>
      <c r="AB149" s="76"/>
      <c r="AC149" s="76"/>
      <c r="AD149" s="77"/>
      <c r="AE149" s="77"/>
    </row>
    <row r="150" spans="1:31" x14ac:dyDescent="0.2">
      <c r="A150" s="76"/>
      <c r="B150" s="76"/>
      <c r="C150" s="76"/>
      <c r="D150" s="76"/>
      <c r="E150" s="76"/>
      <c r="F150" s="77"/>
      <c r="G150" s="77"/>
      <c r="H150" s="76"/>
      <c r="I150" s="76"/>
      <c r="J150" s="76"/>
      <c r="K150" s="76"/>
      <c r="L150" s="76"/>
      <c r="M150" s="76"/>
      <c r="N150" s="76"/>
      <c r="O150" s="76"/>
      <c r="P150" s="76"/>
      <c r="Q150" s="76"/>
      <c r="R150" s="76"/>
      <c r="S150" s="76"/>
      <c r="T150" s="76"/>
      <c r="U150" s="76"/>
      <c r="V150" s="76"/>
      <c r="W150" s="76"/>
      <c r="X150" s="76"/>
      <c r="Y150" s="76"/>
      <c r="Z150" s="76"/>
      <c r="AA150" s="76"/>
      <c r="AB150" s="76"/>
      <c r="AC150" s="76"/>
      <c r="AD150" s="77"/>
      <c r="AE150" s="77"/>
    </row>
    <row r="151" spans="1:31" x14ac:dyDescent="0.2">
      <c r="A151" s="76"/>
      <c r="B151" s="76"/>
      <c r="C151" s="76"/>
      <c r="D151" s="76"/>
      <c r="E151" s="76"/>
      <c r="F151" s="77"/>
      <c r="G151" s="77"/>
      <c r="H151" s="76"/>
      <c r="I151" s="76"/>
      <c r="J151" s="76"/>
      <c r="K151" s="76"/>
      <c r="L151" s="76"/>
      <c r="M151" s="76"/>
      <c r="N151" s="76"/>
      <c r="O151" s="76"/>
      <c r="P151" s="76"/>
      <c r="Q151" s="76"/>
      <c r="R151" s="76"/>
      <c r="S151" s="76"/>
      <c r="T151" s="76"/>
      <c r="U151" s="76"/>
      <c r="V151" s="76"/>
      <c r="W151" s="76"/>
      <c r="X151" s="76"/>
      <c r="Y151" s="76"/>
      <c r="Z151" s="76"/>
      <c r="AA151" s="76"/>
      <c r="AB151" s="76"/>
      <c r="AC151" s="76"/>
      <c r="AD151" s="77"/>
      <c r="AE151" s="77"/>
    </row>
    <row r="152" spans="1:31" x14ac:dyDescent="0.2">
      <c r="A152" s="76"/>
      <c r="B152" s="76"/>
      <c r="C152" s="76"/>
      <c r="D152" s="76"/>
      <c r="E152" s="76"/>
      <c r="F152" s="77"/>
      <c r="G152" s="77"/>
      <c r="H152" s="76"/>
      <c r="I152" s="76"/>
      <c r="J152" s="76"/>
      <c r="K152" s="76"/>
      <c r="L152" s="76"/>
      <c r="M152" s="76"/>
      <c r="N152" s="76"/>
      <c r="O152" s="76"/>
      <c r="P152" s="76"/>
      <c r="Q152" s="76"/>
      <c r="R152" s="76"/>
      <c r="S152" s="76"/>
      <c r="T152" s="76"/>
      <c r="U152" s="76"/>
      <c r="V152" s="76"/>
      <c r="W152" s="76"/>
      <c r="X152" s="76"/>
      <c r="Y152" s="76"/>
      <c r="Z152" s="76"/>
      <c r="AA152" s="76"/>
      <c r="AB152" s="76"/>
      <c r="AC152" s="76"/>
      <c r="AD152" s="77"/>
      <c r="AE152" s="77"/>
    </row>
    <row r="153" spans="1:31" x14ac:dyDescent="0.2">
      <c r="A153" s="76"/>
      <c r="B153" s="76"/>
      <c r="C153" s="76"/>
      <c r="D153" s="76"/>
      <c r="E153" s="76"/>
      <c r="F153" s="77"/>
      <c r="G153" s="77"/>
      <c r="H153" s="76"/>
      <c r="I153" s="76"/>
      <c r="J153" s="76"/>
      <c r="K153" s="76"/>
      <c r="L153" s="76"/>
      <c r="M153" s="76"/>
      <c r="N153" s="76"/>
      <c r="O153" s="76"/>
      <c r="P153" s="76"/>
      <c r="Q153" s="76"/>
      <c r="R153" s="76"/>
      <c r="S153" s="76"/>
      <c r="T153" s="76"/>
      <c r="U153" s="76"/>
      <c r="V153" s="76"/>
      <c r="W153" s="76"/>
      <c r="X153" s="76"/>
      <c r="Y153" s="76"/>
      <c r="Z153" s="76"/>
      <c r="AA153" s="76"/>
      <c r="AB153" s="76"/>
      <c r="AC153" s="76"/>
      <c r="AD153" s="77"/>
      <c r="AE153" s="77"/>
    </row>
    <row r="154" spans="1:31" x14ac:dyDescent="0.2">
      <c r="A154" s="76"/>
      <c r="B154" s="76"/>
      <c r="C154" s="76"/>
      <c r="D154" s="76"/>
      <c r="E154" s="76"/>
      <c r="F154" s="77"/>
      <c r="G154" s="77"/>
      <c r="H154" s="76"/>
      <c r="I154" s="76"/>
      <c r="J154" s="76"/>
      <c r="K154" s="76"/>
      <c r="L154" s="76"/>
      <c r="M154" s="76"/>
      <c r="N154" s="76"/>
      <c r="O154" s="76"/>
      <c r="P154" s="76"/>
      <c r="Q154" s="76"/>
      <c r="R154" s="76"/>
      <c r="S154" s="76"/>
      <c r="T154" s="76"/>
      <c r="U154" s="76"/>
      <c r="V154" s="76"/>
      <c r="W154" s="76"/>
      <c r="X154" s="76"/>
      <c r="Y154" s="76"/>
      <c r="Z154" s="76"/>
      <c r="AA154" s="76"/>
      <c r="AB154" s="76"/>
      <c r="AC154" s="76"/>
      <c r="AD154" s="77"/>
      <c r="AE154" s="77"/>
    </row>
    <row r="155" spans="1:31" x14ac:dyDescent="0.2">
      <c r="A155" s="76"/>
      <c r="B155" s="76"/>
      <c r="C155" s="76"/>
      <c r="D155" s="76"/>
      <c r="E155" s="76"/>
      <c r="F155" s="77"/>
      <c r="G155" s="77"/>
      <c r="H155" s="76"/>
      <c r="I155" s="76"/>
      <c r="J155" s="76"/>
      <c r="K155" s="76"/>
      <c r="L155" s="76"/>
      <c r="M155" s="76"/>
      <c r="N155" s="76"/>
      <c r="O155" s="76"/>
      <c r="P155" s="76"/>
      <c r="Q155" s="76"/>
      <c r="R155" s="76"/>
      <c r="S155" s="76"/>
      <c r="T155" s="76"/>
      <c r="U155" s="76"/>
      <c r="V155" s="76"/>
      <c r="W155" s="76"/>
      <c r="X155" s="76"/>
      <c r="Y155" s="76"/>
      <c r="Z155" s="76"/>
      <c r="AA155" s="76"/>
      <c r="AB155" s="76"/>
      <c r="AC155" s="76"/>
      <c r="AD155" s="77"/>
      <c r="AE155" s="77"/>
    </row>
    <row r="156" spans="1:31" x14ac:dyDescent="0.2">
      <c r="A156" s="76"/>
      <c r="B156" s="76"/>
      <c r="C156" s="76"/>
      <c r="D156" s="76"/>
      <c r="E156" s="76"/>
      <c r="F156" s="77"/>
      <c r="G156" s="77"/>
      <c r="H156" s="76"/>
      <c r="I156" s="76"/>
      <c r="J156" s="76"/>
      <c r="K156" s="76"/>
      <c r="L156" s="76"/>
      <c r="M156" s="76"/>
      <c r="N156" s="76"/>
      <c r="O156" s="76"/>
      <c r="P156" s="76"/>
      <c r="Q156" s="76"/>
      <c r="R156" s="76"/>
      <c r="S156" s="76"/>
      <c r="T156" s="76"/>
      <c r="U156" s="76"/>
      <c r="V156" s="76"/>
      <c r="W156" s="76"/>
      <c r="X156" s="76"/>
      <c r="Y156" s="76"/>
      <c r="Z156" s="76"/>
      <c r="AA156" s="76"/>
      <c r="AB156" s="76"/>
      <c r="AC156" s="76"/>
      <c r="AD156" s="77"/>
      <c r="AE156" s="77"/>
    </row>
    <row r="157" spans="1:31" x14ac:dyDescent="0.2">
      <c r="A157" s="76"/>
      <c r="B157" s="76"/>
      <c r="C157" s="76"/>
      <c r="D157" s="76"/>
      <c r="E157" s="76"/>
      <c r="F157" s="77"/>
      <c r="G157" s="77"/>
      <c r="H157" s="76"/>
      <c r="I157" s="76"/>
      <c r="J157" s="76"/>
      <c r="K157" s="76"/>
      <c r="L157" s="76"/>
      <c r="M157" s="76"/>
      <c r="N157" s="76"/>
      <c r="O157" s="76"/>
      <c r="P157" s="76"/>
      <c r="Q157" s="76"/>
      <c r="R157" s="76"/>
      <c r="S157" s="76"/>
      <c r="T157" s="76"/>
      <c r="U157" s="76"/>
      <c r="V157" s="76"/>
      <c r="W157" s="76"/>
      <c r="X157" s="76"/>
      <c r="Y157" s="76"/>
      <c r="Z157" s="76"/>
      <c r="AA157" s="76"/>
      <c r="AB157" s="76"/>
      <c r="AC157" s="76"/>
      <c r="AD157" s="77"/>
      <c r="AE157" s="77"/>
    </row>
    <row r="158" spans="1:31" x14ac:dyDescent="0.2">
      <c r="A158" s="76"/>
      <c r="B158" s="76"/>
      <c r="C158" s="76"/>
      <c r="D158" s="76"/>
      <c r="E158" s="76"/>
      <c r="F158" s="77"/>
      <c r="G158" s="77"/>
      <c r="H158" s="76"/>
      <c r="I158" s="76"/>
      <c r="J158" s="76"/>
      <c r="K158" s="76"/>
      <c r="L158" s="76"/>
      <c r="M158" s="76"/>
      <c r="N158" s="76"/>
      <c r="O158" s="76"/>
      <c r="P158" s="76"/>
      <c r="Q158" s="76"/>
      <c r="R158" s="76"/>
      <c r="S158" s="76"/>
      <c r="T158" s="76"/>
      <c r="U158" s="76"/>
      <c r="V158" s="76"/>
      <c r="W158" s="76"/>
      <c r="X158" s="76"/>
      <c r="Y158" s="76"/>
      <c r="Z158" s="76"/>
      <c r="AA158" s="76"/>
      <c r="AB158" s="76"/>
      <c r="AC158" s="76"/>
      <c r="AD158" s="77"/>
      <c r="AE158" s="77"/>
    </row>
    <row r="159" spans="1:31" x14ac:dyDescent="0.2">
      <c r="A159" s="76"/>
      <c r="B159" s="76"/>
      <c r="C159" s="76"/>
      <c r="D159" s="76"/>
      <c r="E159" s="76"/>
      <c r="F159" s="77"/>
      <c r="G159" s="77"/>
      <c r="H159" s="76"/>
      <c r="I159" s="76"/>
      <c r="J159" s="76"/>
      <c r="K159" s="76"/>
      <c r="L159" s="76"/>
      <c r="M159" s="76"/>
      <c r="N159" s="76"/>
      <c r="O159" s="76"/>
      <c r="P159" s="76"/>
      <c r="Q159" s="76"/>
      <c r="R159" s="76"/>
      <c r="S159" s="76"/>
      <c r="T159" s="76"/>
      <c r="U159" s="76"/>
      <c r="V159" s="76"/>
      <c r="W159" s="76"/>
      <c r="X159" s="76"/>
      <c r="Y159" s="76"/>
      <c r="Z159" s="76"/>
      <c r="AA159" s="76"/>
      <c r="AB159" s="76"/>
      <c r="AC159" s="76"/>
      <c r="AD159" s="77"/>
      <c r="AE159" s="77"/>
    </row>
    <row r="160" spans="1:31" x14ac:dyDescent="0.2">
      <c r="A160" s="76"/>
      <c r="B160" s="76"/>
      <c r="C160" s="76"/>
      <c r="D160" s="76"/>
      <c r="E160" s="76"/>
      <c r="F160" s="77"/>
      <c r="G160" s="77"/>
      <c r="H160" s="76"/>
      <c r="I160" s="76"/>
      <c r="J160" s="76"/>
      <c r="K160" s="76"/>
      <c r="L160" s="76"/>
      <c r="M160" s="76"/>
      <c r="N160" s="76"/>
      <c r="O160" s="76"/>
      <c r="P160" s="76"/>
      <c r="Q160" s="76"/>
      <c r="R160" s="76"/>
      <c r="S160" s="76"/>
      <c r="T160" s="76"/>
      <c r="U160" s="76"/>
      <c r="V160" s="76"/>
      <c r="W160" s="76"/>
      <c r="X160" s="76"/>
      <c r="Y160" s="76"/>
      <c r="Z160" s="76"/>
      <c r="AA160" s="76"/>
      <c r="AB160" s="76"/>
      <c r="AC160" s="76"/>
      <c r="AD160" s="77"/>
      <c r="AE160" s="77"/>
    </row>
    <row r="161" spans="1:31" x14ac:dyDescent="0.2">
      <c r="A161" s="76"/>
      <c r="B161" s="76"/>
      <c r="C161" s="76"/>
      <c r="D161" s="76"/>
      <c r="E161" s="76"/>
      <c r="F161" s="77"/>
      <c r="G161" s="77"/>
      <c r="H161" s="76"/>
      <c r="I161" s="76"/>
      <c r="J161" s="76"/>
      <c r="K161" s="76"/>
      <c r="L161" s="76"/>
      <c r="M161" s="76"/>
      <c r="N161" s="76"/>
      <c r="O161" s="76"/>
      <c r="P161" s="76"/>
      <c r="Q161" s="76"/>
      <c r="R161" s="76"/>
      <c r="S161" s="76"/>
      <c r="T161" s="76"/>
      <c r="U161" s="76"/>
      <c r="V161" s="76"/>
      <c r="W161" s="76"/>
      <c r="X161" s="76"/>
      <c r="Y161" s="76"/>
      <c r="Z161" s="76"/>
      <c r="AA161" s="76"/>
      <c r="AB161" s="76"/>
      <c r="AC161" s="76"/>
      <c r="AD161" s="77"/>
      <c r="AE161" s="77"/>
    </row>
    <row r="162" spans="1:31" x14ac:dyDescent="0.2">
      <c r="A162" s="76"/>
      <c r="B162" s="76"/>
      <c r="C162" s="76"/>
      <c r="D162" s="76"/>
      <c r="E162" s="76"/>
      <c r="F162" s="77"/>
      <c r="G162" s="77"/>
      <c r="H162" s="76"/>
      <c r="I162" s="76"/>
      <c r="J162" s="76"/>
      <c r="K162" s="76"/>
      <c r="L162" s="76"/>
      <c r="M162" s="76"/>
      <c r="N162" s="76"/>
      <c r="O162" s="76"/>
      <c r="P162" s="76"/>
      <c r="Q162" s="76"/>
      <c r="R162" s="76"/>
      <c r="S162" s="76"/>
      <c r="T162" s="76"/>
      <c r="U162" s="76"/>
      <c r="V162" s="76"/>
      <c r="W162" s="76"/>
      <c r="X162" s="76"/>
      <c r="Y162" s="76"/>
      <c r="Z162" s="76"/>
      <c r="AA162" s="76"/>
      <c r="AB162" s="76"/>
      <c r="AC162" s="76"/>
      <c r="AD162" s="77"/>
      <c r="AE162" s="77"/>
    </row>
    <row r="163" spans="1:31" x14ac:dyDescent="0.2">
      <c r="A163" s="76"/>
      <c r="B163" s="76"/>
      <c r="C163" s="76"/>
      <c r="D163" s="76"/>
      <c r="E163" s="76"/>
      <c r="F163" s="77"/>
      <c r="G163" s="77"/>
      <c r="H163" s="76"/>
      <c r="I163" s="76"/>
      <c r="J163" s="76"/>
      <c r="K163" s="76"/>
      <c r="L163" s="76"/>
      <c r="M163" s="76"/>
      <c r="N163" s="76"/>
      <c r="O163" s="76"/>
      <c r="P163" s="76"/>
      <c r="Q163" s="76"/>
      <c r="R163" s="76"/>
      <c r="S163" s="76"/>
      <c r="T163" s="76"/>
      <c r="U163" s="76"/>
      <c r="V163" s="76"/>
      <c r="W163" s="76"/>
      <c r="X163" s="76"/>
      <c r="Y163" s="76"/>
      <c r="Z163" s="76"/>
      <c r="AA163" s="76"/>
      <c r="AB163" s="76"/>
      <c r="AC163" s="76"/>
      <c r="AD163" s="77"/>
      <c r="AE163" s="77"/>
    </row>
    <row r="164" spans="1:31" x14ac:dyDescent="0.2">
      <c r="A164" s="76"/>
      <c r="B164" s="76"/>
      <c r="C164" s="76"/>
      <c r="D164" s="76"/>
      <c r="E164" s="76"/>
      <c r="F164" s="77"/>
      <c r="G164" s="77"/>
      <c r="H164" s="76"/>
      <c r="I164" s="76"/>
      <c r="J164" s="76"/>
      <c r="K164" s="76"/>
      <c r="L164" s="76"/>
      <c r="M164" s="76"/>
      <c r="N164" s="76"/>
      <c r="O164" s="76"/>
      <c r="P164" s="76"/>
      <c r="Q164" s="76"/>
      <c r="R164" s="76"/>
      <c r="S164" s="76"/>
      <c r="T164" s="76"/>
      <c r="U164" s="76"/>
      <c r="V164" s="76"/>
      <c r="W164" s="76"/>
      <c r="X164" s="76"/>
      <c r="Y164" s="76"/>
      <c r="Z164" s="76"/>
      <c r="AA164" s="76"/>
      <c r="AB164" s="76"/>
      <c r="AC164" s="76"/>
      <c r="AD164" s="77"/>
      <c r="AE164" s="77"/>
    </row>
    <row r="165" spans="1:31" x14ac:dyDescent="0.2">
      <c r="A165" s="76"/>
      <c r="B165" s="76"/>
      <c r="C165" s="76"/>
      <c r="D165" s="76"/>
      <c r="E165" s="76"/>
      <c r="F165" s="77"/>
      <c r="G165" s="77"/>
      <c r="H165" s="76"/>
      <c r="I165" s="76"/>
      <c r="J165" s="76"/>
      <c r="K165" s="76"/>
      <c r="L165" s="76"/>
      <c r="M165" s="76"/>
      <c r="N165" s="76"/>
      <c r="O165" s="76"/>
      <c r="P165" s="76"/>
      <c r="Q165" s="76"/>
      <c r="R165" s="76"/>
      <c r="S165" s="76"/>
      <c r="T165" s="76"/>
      <c r="U165" s="76"/>
      <c r="V165" s="76"/>
      <c r="W165" s="76"/>
      <c r="X165" s="76"/>
      <c r="Y165" s="76"/>
      <c r="Z165" s="76"/>
      <c r="AA165" s="76"/>
      <c r="AB165" s="76"/>
      <c r="AC165" s="76"/>
      <c r="AD165" s="77"/>
      <c r="AE165" s="77"/>
    </row>
    <row r="166" spans="1:31" x14ac:dyDescent="0.2">
      <c r="A166" s="76"/>
      <c r="B166" s="76"/>
      <c r="C166" s="76"/>
      <c r="D166" s="76"/>
      <c r="E166" s="76"/>
      <c r="F166" s="77"/>
      <c r="G166" s="77"/>
      <c r="H166" s="76"/>
      <c r="I166" s="76"/>
      <c r="J166" s="76"/>
      <c r="K166" s="76"/>
      <c r="L166" s="76"/>
      <c r="M166" s="76"/>
      <c r="N166" s="76"/>
      <c r="O166" s="76"/>
      <c r="P166" s="76"/>
      <c r="Q166" s="76"/>
      <c r="R166" s="76"/>
      <c r="S166" s="76"/>
      <c r="T166" s="76"/>
      <c r="U166" s="76"/>
      <c r="V166" s="76"/>
      <c r="W166" s="76"/>
      <c r="X166" s="76"/>
      <c r="Y166" s="76"/>
      <c r="Z166" s="76"/>
      <c r="AA166" s="76"/>
      <c r="AB166" s="76"/>
      <c r="AC166" s="76"/>
      <c r="AD166" s="77"/>
      <c r="AE166" s="77"/>
    </row>
    <row r="167" spans="1:31" x14ac:dyDescent="0.2">
      <c r="A167" s="76"/>
      <c r="B167" s="76"/>
      <c r="C167" s="76"/>
      <c r="D167" s="76"/>
      <c r="E167" s="76"/>
      <c r="F167" s="77"/>
      <c r="G167" s="77"/>
      <c r="H167" s="76"/>
      <c r="I167" s="76"/>
      <c r="J167" s="76"/>
      <c r="K167" s="76"/>
      <c r="L167" s="76"/>
      <c r="M167" s="76"/>
      <c r="N167" s="76"/>
      <c r="O167" s="76"/>
      <c r="P167" s="76"/>
      <c r="Q167" s="76"/>
      <c r="R167" s="76"/>
      <c r="S167" s="76"/>
      <c r="T167" s="76"/>
      <c r="U167" s="76"/>
      <c r="V167" s="76"/>
      <c r="W167" s="76"/>
      <c r="X167" s="76"/>
      <c r="Y167" s="76"/>
      <c r="Z167" s="76"/>
      <c r="AA167" s="76"/>
      <c r="AB167" s="76"/>
      <c r="AC167" s="76"/>
      <c r="AD167" s="77"/>
      <c r="AE167" s="77"/>
    </row>
    <row r="168" spans="1:31" x14ac:dyDescent="0.2">
      <c r="A168" s="76"/>
      <c r="B168" s="76"/>
      <c r="C168" s="76"/>
      <c r="D168" s="76"/>
      <c r="E168" s="76"/>
      <c r="F168" s="77"/>
      <c r="G168" s="77"/>
      <c r="H168" s="76"/>
      <c r="I168" s="76"/>
      <c r="J168" s="76"/>
      <c r="K168" s="76"/>
      <c r="L168" s="76"/>
      <c r="M168" s="76"/>
      <c r="N168" s="76"/>
      <c r="O168" s="76"/>
      <c r="P168" s="76"/>
      <c r="Q168" s="76"/>
      <c r="R168" s="76"/>
      <c r="S168" s="76"/>
      <c r="T168" s="76"/>
      <c r="U168" s="76"/>
      <c r="V168" s="76"/>
      <c r="W168" s="76"/>
      <c r="X168" s="76"/>
      <c r="Y168" s="76"/>
      <c r="Z168" s="76"/>
      <c r="AA168" s="76"/>
      <c r="AB168" s="76"/>
      <c r="AC168" s="76"/>
      <c r="AD168" s="77"/>
      <c r="AE168" s="77"/>
    </row>
    <row r="169" spans="1:31" x14ac:dyDescent="0.2">
      <c r="A169" s="76"/>
      <c r="B169" s="76"/>
      <c r="C169" s="76"/>
      <c r="D169" s="76"/>
      <c r="E169" s="76"/>
      <c r="F169" s="77"/>
      <c r="G169" s="77"/>
      <c r="H169" s="76"/>
      <c r="I169" s="76"/>
      <c r="J169" s="76"/>
      <c r="K169" s="76"/>
      <c r="L169" s="76"/>
      <c r="M169" s="76"/>
      <c r="N169" s="76"/>
      <c r="O169" s="76"/>
      <c r="P169" s="76"/>
      <c r="Q169" s="76"/>
      <c r="R169" s="76"/>
      <c r="S169" s="76"/>
      <c r="T169" s="76"/>
      <c r="U169" s="76"/>
      <c r="V169" s="76"/>
      <c r="W169" s="76"/>
      <c r="X169" s="76"/>
      <c r="Y169" s="76"/>
      <c r="Z169" s="76"/>
      <c r="AA169" s="76"/>
      <c r="AB169" s="76"/>
      <c r="AC169" s="76"/>
      <c r="AD169" s="77"/>
      <c r="AE169" s="77"/>
    </row>
    <row r="170" spans="1:31" x14ac:dyDescent="0.2">
      <c r="A170" s="76"/>
      <c r="B170" s="76"/>
      <c r="C170" s="76"/>
      <c r="D170" s="76"/>
      <c r="E170" s="76"/>
      <c r="F170" s="77"/>
      <c r="G170" s="77"/>
      <c r="H170" s="76"/>
      <c r="I170" s="76"/>
      <c r="J170" s="76"/>
      <c r="K170" s="76"/>
      <c r="L170" s="76"/>
      <c r="M170" s="76"/>
      <c r="N170" s="76"/>
      <c r="O170" s="76"/>
      <c r="P170" s="76"/>
      <c r="Q170" s="76"/>
      <c r="R170" s="76"/>
      <c r="S170" s="76"/>
      <c r="T170" s="76"/>
      <c r="U170" s="76"/>
      <c r="V170" s="76"/>
      <c r="W170" s="76"/>
      <c r="X170" s="76"/>
      <c r="Y170" s="76"/>
      <c r="Z170" s="76"/>
      <c r="AA170" s="76"/>
      <c r="AB170" s="76"/>
      <c r="AC170" s="76"/>
      <c r="AD170" s="77"/>
      <c r="AE170" s="77"/>
    </row>
    <row r="171" spans="1:31" x14ac:dyDescent="0.2">
      <c r="A171" s="76"/>
      <c r="B171" s="76"/>
      <c r="C171" s="76"/>
      <c r="D171" s="76"/>
      <c r="E171" s="76"/>
      <c r="F171" s="77"/>
      <c r="G171" s="77"/>
      <c r="H171" s="76"/>
      <c r="I171" s="76"/>
      <c r="J171" s="76"/>
      <c r="K171" s="76"/>
      <c r="L171" s="76"/>
      <c r="M171" s="76"/>
      <c r="N171" s="76"/>
      <c r="O171" s="76"/>
      <c r="P171" s="76"/>
      <c r="Q171" s="76"/>
      <c r="R171" s="76"/>
      <c r="S171" s="76"/>
      <c r="T171" s="76"/>
      <c r="U171" s="76"/>
      <c r="V171" s="76"/>
      <c r="W171" s="76"/>
      <c r="X171" s="76"/>
      <c r="Y171" s="76"/>
      <c r="Z171" s="76"/>
      <c r="AA171" s="76"/>
      <c r="AB171" s="76"/>
      <c r="AC171" s="76"/>
      <c r="AD171" s="77"/>
      <c r="AE171" s="77"/>
    </row>
    <row r="172" spans="1:31" x14ac:dyDescent="0.2">
      <c r="A172" s="76"/>
      <c r="B172" s="76"/>
      <c r="C172" s="76"/>
      <c r="D172" s="76"/>
      <c r="E172" s="76"/>
      <c r="F172" s="77"/>
      <c r="G172" s="77"/>
      <c r="H172" s="76"/>
      <c r="I172" s="76"/>
      <c r="J172" s="76"/>
      <c r="K172" s="76"/>
      <c r="L172" s="76"/>
      <c r="M172" s="76"/>
      <c r="N172" s="76"/>
      <c r="O172" s="76"/>
      <c r="P172" s="76"/>
      <c r="Q172" s="76"/>
      <c r="R172" s="76"/>
      <c r="S172" s="76"/>
      <c r="T172" s="76"/>
      <c r="U172" s="76"/>
      <c r="V172" s="76"/>
      <c r="W172" s="76"/>
      <c r="X172" s="76"/>
      <c r="Y172" s="76"/>
      <c r="Z172" s="76"/>
      <c r="AA172" s="76"/>
      <c r="AB172" s="76"/>
      <c r="AC172" s="76"/>
      <c r="AD172" s="77"/>
      <c r="AE172" s="77"/>
    </row>
    <row r="173" spans="1:31" x14ac:dyDescent="0.2">
      <c r="A173" s="76"/>
      <c r="B173" s="76"/>
      <c r="C173" s="76"/>
      <c r="D173" s="76"/>
      <c r="E173" s="76"/>
      <c r="F173" s="77"/>
      <c r="G173" s="77"/>
      <c r="H173" s="76"/>
      <c r="I173" s="76"/>
      <c r="J173" s="76"/>
      <c r="K173" s="76"/>
      <c r="L173" s="76"/>
      <c r="M173" s="76"/>
      <c r="N173" s="76"/>
      <c r="O173" s="76"/>
      <c r="P173" s="76"/>
      <c r="Q173" s="76"/>
      <c r="R173" s="76"/>
      <c r="S173" s="76"/>
      <c r="T173" s="76"/>
      <c r="U173" s="76"/>
      <c r="V173" s="76"/>
      <c r="W173" s="76"/>
      <c r="X173" s="76"/>
      <c r="Y173" s="76"/>
      <c r="Z173" s="76"/>
      <c r="AA173" s="76"/>
      <c r="AB173" s="76"/>
      <c r="AC173" s="76"/>
      <c r="AD173" s="77"/>
      <c r="AE173" s="77"/>
    </row>
    <row r="174" spans="1:31" x14ac:dyDescent="0.2">
      <c r="A174" s="76"/>
      <c r="B174" s="76"/>
      <c r="C174" s="76"/>
      <c r="D174" s="76"/>
      <c r="E174" s="76"/>
      <c r="F174" s="77"/>
      <c r="G174" s="77"/>
      <c r="H174" s="76"/>
      <c r="I174" s="76"/>
      <c r="J174" s="76"/>
      <c r="K174" s="76"/>
      <c r="L174" s="76"/>
      <c r="M174" s="76"/>
      <c r="N174" s="76"/>
      <c r="O174" s="76"/>
      <c r="P174" s="76"/>
      <c r="Q174" s="76"/>
      <c r="R174" s="76"/>
      <c r="S174" s="76"/>
      <c r="T174" s="76"/>
      <c r="U174" s="76"/>
      <c r="V174" s="76"/>
      <c r="W174" s="76"/>
      <c r="X174" s="76"/>
      <c r="Y174" s="76"/>
      <c r="Z174" s="76"/>
      <c r="AA174" s="76"/>
      <c r="AB174" s="76"/>
      <c r="AC174" s="76"/>
      <c r="AD174" s="77"/>
      <c r="AE174" s="77"/>
    </row>
    <row r="175" spans="1:31" x14ac:dyDescent="0.2">
      <c r="A175" s="76"/>
      <c r="B175" s="76"/>
      <c r="C175" s="76"/>
      <c r="D175" s="76"/>
      <c r="E175" s="76"/>
      <c r="F175" s="77"/>
      <c r="G175" s="77"/>
      <c r="H175" s="76"/>
      <c r="I175" s="76"/>
      <c r="J175" s="76"/>
      <c r="K175" s="76"/>
      <c r="L175" s="76"/>
      <c r="M175" s="76"/>
      <c r="N175" s="76"/>
      <c r="O175" s="76"/>
      <c r="P175" s="76"/>
      <c r="Q175" s="76"/>
      <c r="R175" s="76"/>
      <c r="S175" s="76"/>
      <c r="T175" s="76"/>
      <c r="U175" s="76"/>
      <c r="V175" s="76"/>
      <c r="W175" s="76"/>
      <c r="X175" s="76"/>
      <c r="Y175" s="76"/>
      <c r="Z175" s="76"/>
      <c r="AA175" s="76"/>
      <c r="AB175" s="76"/>
      <c r="AC175" s="76"/>
      <c r="AD175" s="77"/>
      <c r="AE175" s="77"/>
    </row>
    <row r="176" spans="1:31" x14ac:dyDescent="0.2">
      <c r="A176" s="76"/>
      <c r="B176" s="76"/>
      <c r="C176" s="76"/>
      <c r="D176" s="76"/>
      <c r="E176" s="76"/>
      <c r="F176" s="77"/>
      <c r="G176" s="77"/>
      <c r="H176" s="76"/>
      <c r="I176" s="76"/>
      <c r="J176" s="76"/>
      <c r="K176" s="76"/>
      <c r="L176" s="76"/>
      <c r="M176" s="76"/>
      <c r="N176" s="76"/>
      <c r="O176" s="76"/>
      <c r="P176" s="76"/>
      <c r="Q176" s="76"/>
      <c r="R176" s="76"/>
      <c r="S176" s="76"/>
      <c r="T176" s="76"/>
      <c r="U176" s="76"/>
      <c r="V176" s="76"/>
      <c r="W176" s="76"/>
      <c r="X176" s="76"/>
      <c r="Y176" s="76"/>
      <c r="Z176" s="76"/>
      <c r="AA176" s="76"/>
      <c r="AB176" s="76"/>
      <c r="AC176" s="76"/>
      <c r="AD176" s="77"/>
      <c r="AE176" s="77"/>
    </row>
    <row r="177" spans="1:32" x14ac:dyDescent="0.2">
      <c r="A177" s="76"/>
      <c r="B177" s="76"/>
      <c r="C177" s="76"/>
      <c r="D177" s="76"/>
      <c r="E177" s="76"/>
      <c r="F177" s="77"/>
      <c r="G177" s="77"/>
      <c r="H177" s="76"/>
      <c r="I177" s="76"/>
      <c r="J177" s="76"/>
      <c r="K177" s="76"/>
      <c r="L177" s="76"/>
      <c r="M177" s="76"/>
      <c r="N177" s="76"/>
      <c r="O177" s="76"/>
      <c r="P177" s="76"/>
      <c r="Q177" s="76"/>
      <c r="R177" s="76"/>
      <c r="S177" s="76"/>
      <c r="T177" s="76"/>
      <c r="U177" s="76"/>
      <c r="V177" s="76"/>
      <c r="W177" s="76"/>
      <c r="X177" s="76"/>
      <c r="Y177" s="76"/>
      <c r="Z177" s="76"/>
      <c r="AA177" s="76"/>
      <c r="AB177" s="76"/>
      <c r="AC177" s="76"/>
      <c r="AD177" s="77"/>
      <c r="AE177" s="77"/>
    </row>
    <row r="178" spans="1:32" x14ac:dyDescent="0.2">
      <c r="A178" s="76"/>
      <c r="B178" s="76"/>
      <c r="C178" s="76"/>
      <c r="D178" s="76"/>
      <c r="E178" s="76"/>
      <c r="F178" s="77"/>
      <c r="G178" s="77"/>
      <c r="H178" s="76"/>
      <c r="I178" s="76"/>
      <c r="J178" s="76"/>
      <c r="K178" s="76"/>
      <c r="L178" s="76"/>
      <c r="M178" s="76"/>
      <c r="N178" s="76"/>
      <c r="O178" s="76"/>
      <c r="P178" s="76"/>
      <c r="Q178" s="76"/>
      <c r="R178" s="76"/>
      <c r="S178" s="76"/>
      <c r="T178" s="76"/>
      <c r="U178" s="76"/>
      <c r="V178" s="76"/>
      <c r="W178" s="76"/>
      <c r="X178" s="76"/>
      <c r="Y178" s="76"/>
      <c r="Z178" s="76"/>
      <c r="AA178" s="76"/>
      <c r="AB178" s="76"/>
      <c r="AC178" s="76"/>
      <c r="AD178" s="77"/>
      <c r="AE178" s="77"/>
    </row>
    <row r="179" spans="1:32" x14ac:dyDescent="0.2">
      <c r="A179" s="76"/>
      <c r="B179" s="76"/>
      <c r="C179" s="76"/>
      <c r="D179" s="76"/>
      <c r="E179" s="76"/>
      <c r="F179" s="77"/>
      <c r="G179" s="77"/>
      <c r="H179" s="76"/>
      <c r="I179" s="76"/>
      <c r="J179" s="76"/>
      <c r="K179" s="76"/>
      <c r="L179" s="76"/>
      <c r="M179" s="76"/>
      <c r="N179" s="76"/>
      <c r="O179" s="76"/>
      <c r="P179" s="76"/>
      <c r="Q179" s="76"/>
      <c r="R179" s="76"/>
      <c r="S179" s="76"/>
      <c r="T179" s="76"/>
      <c r="U179" s="76"/>
      <c r="V179" s="76"/>
      <c r="W179" s="76"/>
      <c r="X179" s="76"/>
      <c r="Y179" s="76"/>
      <c r="Z179" s="76"/>
      <c r="AA179" s="76"/>
      <c r="AB179" s="76"/>
      <c r="AC179" s="76"/>
      <c r="AD179" s="77"/>
      <c r="AE179" s="77"/>
    </row>
    <row r="180" spans="1:32" x14ac:dyDescent="0.2">
      <c r="A180" s="76"/>
      <c r="B180" s="76"/>
      <c r="C180" s="76"/>
      <c r="D180" s="76"/>
      <c r="E180" s="76"/>
      <c r="F180" s="77"/>
      <c r="G180" s="77"/>
      <c r="H180" s="76"/>
      <c r="I180" s="76"/>
      <c r="J180" s="76"/>
      <c r="K180" s="76"/>
      <c r="L180" s="76"/>
      <c r="M180" s="76"/>
      <c r="N180" s="76"/>
      <c r="O180" s="76"/>
      <c r="P180" s="76"/>
      <c r="Q180" s="76"/>
      <c r="R180" s="76"/>
      <c r="S180" s="76"/>
      <c r="T180" s="76"/>
      <c r="U180" s="76"/>
      <c r="V180" s="76"/>
      <c r="W180" s="76"/>
      <c r="X180" s="76"/>
      <c r="Y180" s="76"/>
      <c r="Z180" s="76"/>
      <c r="AA180" s="76"/>
      <c r="AB180" s="76"/>
      <c r="AC180" s="76"/>
      <c r="AD180" s="77"/>
      <c r="AE180" s="77"/>
    </row>
    <row r="181" spans="1:32" x14ac:dyDescent="0.2">
      <c r="A181" s="76"/>
      <c r="B181" s="76"/>
      <c r="C181" s="76"/>
      <c r="D181" s="76"/>
      <c r="E181" s="76"/>
      <c r="F181" s="77"/>
      <c r="G181" s="77"/>
      <c r="H181" s="76"/>
      <c r="I181" s="76"/>
      <c r="J181" s="76"/>
      <c r="K181" s="76"/>
      <c r="L181" s="76"/>
      <c r="M181" s="76"/>
      <c r="N181" s="76"/>
      <c r="O181" s="76"/>
      <c r="P181" s="76"/>
      <c r="Q181" s="76"/>
      <c r="R181" s="76"/>
      <c r="S181" s="76"/>
      <c r="T181" s="76"/>
      <c r="U181" s="76"/>
      <c r="V181" s="76"/>
      <c r="W181" s="76"/>
      <c r="X181" s="76"/>
      <c r="Y181" s="76"/>
      <c r="Z181" s="76"/>
      <c r="AA181" s="76"/>
      <c r="AB181" s="76"/>
      <c r="AC181" s="76"/>
      <c r="AD181" s="77"/>
      <c r="AE181" s="77"/>
    </row>
    <row r="182" spans="1:32" x14ac:dyDescent="0.2">
      <c r="A182" s="76"/>
      <c r="B182" s="76"/>
      <c r="C182" s="76"/>
      <c r="D182" s="76"/>
      <c r="E182" s="76"/>
      <c r="F182" s="77"/>
      <c r="G182" s="77"/>
      <c r="H182" s="76"/>
      <c r="I182" s="76"/>
      <c r="J182" s="76"/>
      <c r="K182" s="76"/>
      <c r="L182" s="76"/>
      <c r="M182" s="76"/>
      <c r="N182" s="76"/>
      <c r="O182" s="76"/>
      <c r="P182" s="76"/>
      <c r="Q182" s="76"/>
      <c r="R182" s="76"/>
      <c r="S182" s="76"/>
      <c r="T182" s="76"/>
      <c r="U182" s="76"/>
      <c r="V182" s="76"/>
      <c r="W182" s="76"/>
      <c r="X182" s="76"/>
      <c r="Y182" s="76"/>
      <c r="Z182" s="76"/>
      <c r="AA182" s="76"/>
      <c r="AB182" s="76"/>
      <c r="AC182" s="76"/>
      <c r="AD182" s="77"/>
      <c r="AE182" s="77"/>
    </row>
    <row r="183" spans="1:32" x14ac:dyDescent="0.2">
      <c r="A183" s="76"/>
      <c r="B183" s="76"/>
      <c r="C183" s="76"/>
      <c r="D183" s="76"/>
      <c r="E183" s="76"/>
      <c r="F183" s="77"/>
      <c r="G183" s="77"/>
      <c r="H183" s="76"/>
      <c r="I183" s="76"/>
      <c r="J183" s="76"/>
      <c r="K183" s="76"/>
      <c r="L183" s="76"/>
      <c r="M183" s="76"/>
      <c r="N183" s="76"/>
      <c r="O183" s="76"/>
      <c r="P183" s="76"/>
      <c r="Q183" s="76"/>
      <c r="R183" s="76"/>
      <c r="S183" s="76"/>
      <c r="T183" s="76"/>
      <c r="U183" s="76"/>
      <c r="V183" s="76"/>
      <c r="W183" s="76"/>
      <c r="X183" s="76"/>
      <c r="Y183" s="76"/>
      <c r="Z183" s="76"/>
      <c r="AA183" s="76"/>
      <c r="AB183" s="76"/>
      <c r="AC183" s="76"/>
      <c r="AD183" s="77"/>
      <c r="AE183" s="77"/>
    </row>
    <row r="184" spans="1:32" x14ac:dyDescent="0.2">
      <c r="A184" s="76"/>
      <c r="B184" s="76"/>
      <c r="C184" s="76"/>
      <c r="D184" s="76"/>
      <c r="E184" s="76"/>
      <c r="F184" s="77"/>
      <c r="G184" s="77"/>
      <c r="H184" s="76"/>
      <c r="I184" s="76"/>
      <c r="J184" s="76"/>
      <c r="K184" s="76"/>
      <c r="L184" s="76"/>
      <c r="M184" s="76"/>
      <c r="N184" s="76"/>
      <c r="O184" s="76"/>
      <c r="P184" s="76"/>
      <c r="Q184" s="76"/>
      <c r="R184" s="76"/>
      <c r="S184" s="76"/>
      <c r="T184" s="76"/>
      <c r="U184" s="76"/>
      <c r="V184" s="76"/>
      <c r="W184" s="76"/>
      <c r="X184" s="76"/>
      <c r="Y184" s="76"/>
      <c r="Z184" s="76"/>
      <c r="AA184" s="76"/>
      <c r="AB184" s="76"/>
      <c r="AC184" s="76"/>
      <c r="AD184" s="77"/>
      <c r="AE184" s="77"/>
    </row>
    <row r="185" spans="1:32" x14ac:dyDescent="0.2">
      <c r="A185" s="76"/>
      <c r="B185" s="76"/>
      <c r="C185" s="76"/>
      <c r="D185" s="76"/>
      <c r="E185" s="76"/>
      <c r="F185" s="77"/>
      <c r="G185" s="77"/>
      <c r="H185" s="76"/>
      <c r="I185" s="76"/>
      <c r="J185" s="76"/>
      <c r="K185" s="76"/>
      <c r="L185" s="76"/>
      <c r="M185" s="76"/>
      <c r="N185" s="76"/>
      <c r="O185" s="76"/>
      <c r="P185" s="76"/>
      <c r="Q185" s="76"/>
      <c r="R185" s="76"/>
      <c r="S185" s="76"/>
      <c r="T185" s="76"/>
      <c r="U185" s="76"/>
      <c r="V185" s="76"/>
      <c r="W185" s="76"/>
      <c r="X185" s="76"/>
      <c r="Y185" s="76"/>
      <c r="Z185" s="76"/>
      <c r="AA185" s="76"/>
      <c r="AB185" s="76"/>
      <c r="AC185" s="76"/>
      <c r="AD185" s="77"/>
      <c r="AE185" s="77"/>
    </row>
    <row r="186" spans="1:32" x14ac:dyDescent="0.2">
      <c r="A186" s="76"/>
      <c r="B186" s="76"/>
      <c r="C186" s="76"/>
      <c r="D186" s="76"/>
      <c r="E186" s="76"/>
      <c r="F186" s="77"/>
      <c r="G186" s="77"/>
      <c r="H186" s="76"/>
      <c r="I186" s="76"/>
      <c r="J186" s="76"/>
      <c r="K186" s="76"/>
      <c r="L186" s="76"/>
      <c r="M186" s="76"/>
      <c r="N186" s="76"/>
      <c r="O186" s="76"/>
      <c r="P186" s="76"/>
      <c r="Q186" s="76"/>
      <c r="R186" s="76"/>
      <c r="S186" s="76"/>
      <c r="T186" s="76"/>
      <c r="U186" s="76"/>
      <c r="V186" s="76"/>
      <c r="W186" s="76"/>
      <c r="X186" s="76"/>
      <c r="Y186" s="76"/>
      <c r="Z186" s="76"/>
      <c r="AA186" s="76"/>
      <c r="AB186" s="76"/>
      <c r="AC186" s="76"/>
      <c r="AD186" s="77"/>
      <c r="AE186" s="77"/>
    </row>
    <row r="187" spans="1:32" x14ac:dyDescent="0.2">
      <c r="A187" s="76"/>
      <c r="B187" s="76"/>
      <c r="C187" s="76"/>
      <c r="D187" s="76"/>
      <c r="E187" s="76"/>
      <c r="F187" s="77"/>
      <c r="G187" s="77"/>
      <c r="H187" s="76"/>
      <c r="I187" s="76"/>
      <c r="J187" s="76"/>
      <c r="K187" s="76"/>
      <c r="L187" s="76"/>
      <c r="M187" s="76"/>
      <c r="N187" s="76"/>
      <c r="O187" s="76"/>
      <c r="P187" s="76"/>
      <c r="Q187" s="76"/>
      <c r="R187" s="76"/>
      <c r="S187" s="76"/>
      <c r="T187" s="76"/>
      <c r="U187" s="76"/>
      <c r="V187" s="76"/>
      <c r="W187" s="76"/>
      <c r="X187" s="76"/>
      <c r="Y187" s="76"/>
      <c r="Z187" s="76"/>
      <c r="AA187" s="76"/>
      <c r="AB187" s="76"/>
      <c r="AC187" s="76"/>
      <c r="AD187" s="77"/>
      <c r="AE187" s="77"/>
    </row>
    <row r="188" spans="1:32" x14ac:dyDescent="0.2">
      <c r="A188" s="76"/>
      <c r="B188" s="76"/>
      <c r="C188" s="76"/>
      <c r="D188" s="76"/>
      <c r="E188" s="76"/>
      <c r="F188" s="77"/>
      <c r="G188" s="77"/>
      <c r="H188" s="76"/>
      <c r="I188" s="76"/>
      <c r="J188" s="76"/>
      <c r="K188" s="76"/>
      <c r="L188" s="76"/>
      <c r="M188" s="76"/>
      <c r="N188" s="76"/>
      <c r="O188" s="76"/>
      <c r="P188" s="76"/>
      <c r="Q188" s="76"/>
      <c r="R188" s="76"/>
      <c r="S188" s="76"/>
      <c r="T188" s="76"/>
      <c r="U188" s="76"/>
      <c r="V188" s="76"/>
      <c r="W188" s="76"/>
      <c r="X188" s="76"/>
      <c r="Y188" s="76"/>
      <c r="Z188" s="76"/>
      <c r="AA188" s="76"/>
      <c r="AB188" s="76"/>
      <c r="AC188" s="76"/>
      <c r="AD188" s="77"/>
      <c r="AE188" s="77"/>
      <c r="AF188" s="47"/>
    </row>
    <row r="189" spans="1:32" x14ac:dyDescent="0.2">
      <c r="A189" s="76"/>
      <c r="B189" s="76"/>
      <c r="C189" s="76"/>
      <c r="D189" s="76"/>
      <c r="E189" s="76"/>
      <c r="F189" s="77"/>
      <c r="G189" s="77"/>
      <c r="H189" s="76"/>
      <c r="I189" s="76"/>
      <c r="J189" s="76"/>
      <c r="K189" s="76"/>
      <c r="L189" s="76"/>
      <c r="M189" s="76"/>
      <c r="N189" s="76"/>
      <c r="O189" s="76"/>
      <c r="P189" s="76"/>
      <c r="Q189" s="76"/>
      <c r="R189" s="76"/>
      <c r="S189" s="76"/>
      <c r="T189" s="76"/>
      <c r="U189" s="76"/>
      <c r="V189" s="76"/>
      <c r="W189" s="76"/>
      <c r="X189" s="76"/>
      <c r="Y189" s="76"/>
      <c r="Z189" s="76"/>
      <c r="AA189" s="76"/>
      <c r="AB189" s="76"/>
      <c r="AC189" s="76"/>
      <c r="AD189" s="77"/>
      <c r="AE189" s="77"/>
      <c r="AF189" s="47"/>
    </row>
    <row r="190" spans="1:32" x14ac:dyDescent="0.2">
      <c r="A190" s="76"/>
      <c r="B190" s="76"/>
      <c r="C190" s="76"/>
      <c r="D190" s="76"/>
      <c r="E190" s="76"/>
      <c r="F190" s="77"/>
      <c r="G190" s="77"/>
      <c r="H190" s="76"/>
      <c r="I190" s="76"/>
      <c r="J190" s="76"/>
      <c r="K190" s="76"/>
      <c r="L190" s="76"/>
      <c r="M190" s="76"/>
      <c r="N190" s="76"/>
      <c r="O190" s="76"/>
      <c r="P190" s="76"/>
      <c r="Q190" s="76"/>
      <c r="R190" s="76"/>
      <c r="S190" s="76"/>
      <c r="T190" s="76"/>
      <c r="U190" s="76"/>
      <c r="V190" s="76"/>
      <c r="W190" s="76"/>
      <c r="X190" s="76"/>
      <c r="Y190" s="76"/>
      <c r="Z190" s="76"/>
      <c r="AA190" s="76"/>
      <c r="AB190" s="76"/>
      <c r="AC190" s="76"/>
      <c r="AD190" s="77"/>
      <c r="AE190" s="77"/>
      <c r="AF190" s="47"/>
    </row>
    <row r="191" spans="1:32" x14ac:dyDescent="0.2">
      <c r="A191" s="76"/>
      <c r="B191" s="76"/>
      <c r="C191" s="76"/>
      <c r="D191" s="76"/>
      <c r="E191" s="76"/>
      <c r="F191" s="77"/>
      <c r="G191" s="77"/>
      <c r="H191" s="76"/>
      <c r="I191" s="76"/>
      <c r="J191" s="76"/>
      <c r="K191" s="76"/>
      <c r="L191" s="76"/>
      <c r="M191" s="76"/>
      <c r="N191" s="76"/>
      <c r="O191" s="76"/>
      <c r="P191" s="76"/>
      <c r="Q191" s="76"/>
      <c r="R191" s="76"/>
      <c r="S191" s="76"/>
      <c r="T191" s="76"/>
      <c r="U191" s="76"/>
      <c r="V191" s="76"/>
      <c r="W191" s="76"/>
      <c r="X191" s="76"/>
      <c r="Y191" s="76"/>
      <c r="Z191" s="76"/>
      <c r="AA191" s="76"/>
      <c r="AB191" s="76"/>
      <c r="AC191" s="76"/>
      <c r="AD191" s="77"/>
      <c r="AE191" s="77"/>
      <c r="AF191" s="47"/>
    </row>
    <row r="192" spans="1:32" x14ac:dyDescent="0.2">
      <c r="A192" s="76"/>
      <c r="B192" s="76"/>
      <c r="C192" s="76"/>
      <c r="D192" s="76"/>
      <c r="E192" s="76"/>
      <c r="F192" s="77"/>
      <c r="G192" s="77"/>
      <c r="H192" s="76"/>
      <c r="I192" s="76"/>
      <c r="J192" s="76"/>
      <c r="K192" s="76"/>
      <c r="L192" s="76"/>
      <c r="M192" s="76"/>
      <c r="N192" s="76"/>
      <c r="O192" s="76"/>
      <c r="P192" s="76"/>
      <c r="Q192" s="76"/>
      <c r="R192" s="76"/>
      <c r="S192" s="76"/>
      <c r="T192" s="76"/>
      <c r="U192" s="76"/>
      <c r="V192" s="76"/>
      <c r="W192" s="76"/>
      <c r="X192" s="76"/>
      <c r="Y192" s="76"/>
      <c r="Z192" s="76"/>
      <c r="AA192" s="76"/>
      <c r="AB192" s="76"/>
      <c r="AC192" s="76"/>
      <c r="AD192" s="77"/>
      <c r="AE192" s="77"/>
      <c r="AF192" s="47"/>
    </row>
    <row r="193" spans="1:32" x14ac:dyDescent="0.2">
      <c r="A193" s="76"/>
      <c r="B193" s="76"/>
      <c r="C193" s="76"/>
      <c r="D193" s="76"/>
      <c r="E193" s="76"/>
      <c r="F193" s="77"/>
      <c r="G193" s="77"/>
      <c r="H193" s="76"/>
      <c r="I193" s="76"/>
      <c r="J193" s="76"/>
      <c r="K193" s="76"/>
      <c r="L193" s="76"/>
      <c r="M193" s="76"/>
      <c r="N193" s="76"/>
      <c r="O193" s="76"/>
      <c r="P193" s="76"/>
      <c r="Q193" s="76"/>
      <c r="R193" s="76"/>
      <c r="S193" s="76"/>
      <c r="T193" s="76"/>
      <c r="U193" s="76"/>
      <c r="V193" s="76"/>
      <c r="W193" s="76"/>
      <c r="X193" s="76"/>
      <c r="Y193" s="76"/>
      <c r="Z193" s="76"/>
      <c r="AA193" s="76"/>
      <c r="AB193" s="76"/>
      <c r="AC193" s="76"/>
      <c r="AD193" s="77"/>
      <c r="AE193" s="77"/>
      <c r="AF193" s="47"/>
    </row>
    <row r="194" spans="1:32" x14ac:dyDescent="0.2">
      <c r="A194" s="76"/>
      <c r="B194" s="76"/>
      <c r="C194" s="76"/>
      <c r="D194" s="76"/>
      <c r="E194" s="76"/>
      <c r="F194" s="77"/>
      <c r="G194" s="77"/>
      <c r="H194" s="76"/>
      <c r="I194" s="76"/>
      <c r="J194" s="76"/>
      <c r="K194" s="76"/>
      <c r="L194" s="76"/>
      <c r="M194" s="76"/>
      <c r="N194" s="76"/>
      <c r="O194" s="76"/>
      <c r="P194" s="76"/>
      <c r="Q194" s="76"/>
      <c r="R194" s="76"/>
      <c r="S194" s="76"/>
      <c r="T194" s="76"/>
      <c r="U194" s="76"/>
      <c r="V194" s="76"/>
      <c r="W194" s="76"/>
      <c r="X194" s="76"/>
      <c r="Y194" s="76"/>
      <c r="Z194" s="76"/>
      <c r="AA194" s="76"/>
      <c r="AB194" s="76"/>
      <c r="AC194" s="76"/>
      <c r="AD194" s="77"/>
      <c r="AE194" s="77"/>
      <c r="AF194" s="47"/>
    </row>
    <row r="195" spans="1:32" x14ac:dyDescent="0.2">
      <c r="A195" s="76"/>
      <c r="B195" s="76"/>
      <c r="C195" s="76"/>
      <c r="D195" s="76"/>
      <c r="E195" s="76"/>
      <c r="F195" s="77"/>
      <c r="G195" s="77"/>
      <c r="H195" s="76"/>
      <c r="I195" s="76"/>
      <c r="J195" s="76"/>
      <c r="K195" s="76"/>
      <c r="L195" s="76"/>
      <c r="M195" s="76"/>
      <c r="N195" s="76"/>
      <c r="O195" s="76"/>
      <c r="P195" s="76"/>
      <c r="Q195" s="76"/>
      <c r="R195" s="76"/>
      <c r="S195" s="76"/>
      <c r="T195" s="76"/>
      <c r="U195" s="76"/>
      <c r="V195" s="76"/>
      <c r="W195" s="76"/>
      <c r="X195" s="76"/>
      <c r="Y195" s="76"/>
      <c r="Z195" s="76"/>
      <c r="AA195" s="76"/>
      <c r="AB195" s="76"/>
      <c r="AC195" s="76"/>
      <c r="AD195" s="77"/>
      <c r="AE195" s="77"/>
      <c r="AF195" s="47"/>
    </row>
    <row r="196" spans="1:32" x14ac:dyDescent="0.2">
      <c r="A196" s="76"/>
      <c r="B196" s="76"/>
      <c r="C196" s="76"/>
      <c r="D196" s="76"/>
      <c r="E196" s="76"/>
      <c r="F196" s="77"/>
      <c r="G196" s="77"/>
      <c r="H196" s="76"/>
      <c r="I196" s="76"/>
      <c r="J196" s="76"/>
      <c r="K196" s="76"/>
      <c r="L196" s="76"/>
      <c r="M196" s="76"/>
      <c r="N196" s="76"/>
      <c r="O196" s="76"/>
      <c r="P196" s="76"/>
      <c r="Q196" s="76"/>
      <c r="R196" s="76"/>
      <c r="S196" s="76"/>
      <c r="T196" s="76"/>
      <c r="U196" s="76"/>
      <c r="V196" s="76"/>
      <c r="W196" s="76"/>
      <c r="X196" s="76"/>
      <c r="Y196" s="76"/>
      <c r="Z196" s="76"/>
      <c r="AA196" s="76"/>
      <c r="AB196" s="76"/>
      <c r="AC196" s="76"/>
      <c r="AD196" s="77"/>
      <c r="AE196" s="77"/>
      <c r="AF196" s="47"/>
    </row>
    <row r="197" spans="1:32" x14ac:dyDescent="0.2">
      <c r="A197" s="76"/>
      <c r="B197" s="76"/>
      <c r="C197" s="76"/>
      <c r="D197" s="76"/>
      <c r="E197" s="76"/>
      <c r="F197" s="77"/>
      <c r="G197" s="77"/>
      <c r="H197" s="76"/>
      <c r="I197" s="76"/>
      <c r="J197" s="76"/>
      <c r="K197" s="76"/>
      <c r="L197" s="76"/>
      <c r="M197" s="76"/>
      <c r="N197" s="76"/>
      <c r="O197" s="76"/>
      <c r="P197" s="76"/>
      <c r="Q197" s="76"/>
      <c r="R197" s="76"/>
      <c r="S197" s="76"/>
      <c r="T197" s="76"/>
      <c r="U197" s="76"/>
      <c r="V197" s="76"/>
      <c r="W197" s="76"/>
      <c r="X197" s="76"/>
      <c r="Y197" s="76"/>
      <c r="Z197" s="76"/>
      <c r="AA197" s="76"/>
      <c r="AB197" s="76"/>
      <c r="AC197" s="76"/>
      <c r="AD197" s="77"/>
      <c r="AE197" s="77"/>
      <c r="AF197" s="47"/>
    </row>
    <row r="198" spans="1:32" x14ac:dyDescent="0.2">
      <c r="A198" s="76"/>
      <c r="B198" s="76"/>
      <c r="C198" s="76"/>
      <c r="D198" s="76"/>
      <c r="E198" s="76"/>
      <c r="F198" s="77"/>
      <c r="G198" s="77"/>
      <c r="H198" s="76"/>
      <c r="I198" s="76"/>
      <c r="J198" s="76"/>
      <c r="K198" s="76"/>
      <c r="L198" s="76"/>
      <c r="M198" s="76"/>
      <c r="N198" s="76"/>
      <c r="O198" s="76"/>
      <c r="P198" s="76"/>
      <c r="Q198" s="76"/>
      <c r="R198" s="76"/>
      <c r="S198" s="76"/>
      <c r="T198" s="76"/>
      <c r="U198" s="76"/>
      <c r="V198" s="76"/>
      <c r="W198" s="76"/>
      <c r="X198" s="76"/>
      <c r="Y198" s="76"/>
      <c r="Z198" s="76"/>
      <c r="AA198" s="76"/>
      <c r="AB198" s="76"/>
      <c r="AC198" s="76"/>
      <c r="AD198" s="77"/>
      <c r="AE198" s="77"/>
      <c r="AF198" s="47"/>
    </row>
    <row r="199" spans="1:32" x14ac:dyDescent="0.2">
      <c r="A199" s="76"/>
      <c r="B199" s="76"/>
      <c r="C199" s="76"/>
      <c r="D199" s="76"/>
      <c r="E199" s="76"/>
      <c r="F199" s="77"/>
      <c r="G199" s="77"/>
      <c r="H199" s="76"/>
      <c r="I199" s="76"/>
      <c r="J199" s="76"/>
      <c r="K199" s="76"/>
      <c r="L199" s="76"/>
      <c r="M199" s="76"/>
      <c r="N199" s="76"/>
      <c r="O199" s="76"/>
      <c r="P199" s="76"/>
      <c r="Q199" s="76"/>
      <c r="R199" s="76"/>
      <c r="S199" s="76"/>
      <c r="T199" s="76"/>
      <c r="U199" s="76"/>
      <c r="V199" s="76"/>
      <c r="W199" s="76"/>
      <c r="X199" s="76"/>
      <c r="Y199" s="76"/>
      <c r="Z199" s="76"/>
      <c r="AA199" s="76"/>
      <c r="AB199" s="76"/>
      <c r="AC199" s="76"/>
      <c r="AD199" s="77"/>
      <c r="AE199" s="77"/>
      <c r="AF199" s="47"/>
    </row>
    <row r="200" spans="1:32" x14ac:dyDescent="0.2">
      <c r="A200" s="76"/>
      <c r="B200" s="76"/>
      <c r="C200" s="76"/>
      <c r="D200" s="76"/>
      <c r="E200" s="76"/>
      <c r="F200" s="77"/>
      <c r="G200" s="77"/>
      <c r="H200" s="76"/>
      <c r="I200" s="76"/>
      <c r="J200" s="76"/>
      <c r="K200" s="76"/>
      <c r="L200" s="76"/>
      <c r="M200" s="76"/>
      <c r="N200" s="76"/>
      <c r="O200" s="76"/>
      <c r="P200" s="76"/>
      <c r="Q200" s="76"/>
      <c r="R200" s="76"/>
      <c r="S200" s="76"/>
      <c r="T200" s="76"/>
      <c r="U200" s="76"/>
      <c r="V200" s="76"/>
      <c r="W200" s="76"/>
      <c r="X200" s="76"/>
      <c r="Y200" s="76"/>
      <c r="Z200" s="76"/>
      <c r="AA200" s="76"/>
      <c r="AB200" s="76"/>
      <c r="AC200" s="76"/>
      <c r="AD200" s="77"/>
      <c r="AE200" s="77"/>
      <c r="AF200" s="47"/>
    </row>
    <row r="201" spans="1:32" x14ac:dyDescent="0.2">
      <c r="A201" s="76"/>
      <c r="B201" s="76"/>
      <c r="C201" s="76"/>
      <c r="D201" s="76"/>
      <c r="E201" s="76"/>
      <c r="F201" s="77"/>
      <c r="G201" s="77"/>
      <c r="H201" s="76"/>
      <c r="I201" s="76"/>
      <c r="J201" s="76"/>
      <c r="K201" s="76"/>
      <c r="L201" s="76"/>
      <c r="M201" s="76"/>
      <c r="N201" s="76"/>
      <c r="O201" s="76"/>
      <c r="P201" s="76"/>
      <c r="Q201" s="76"/>
      <c r="R201" s="76"/>
      <c r="S201" s="76"/>
      <c r="T201" s="76"/>
      <c r="U201" s="76"/>
      <c r="V201" s="76"/>
      <c r="W201" s="76"/>
      <c r="X201" s="76"/>
      <c r="Y201" s="76"/>
      <c r="Z201" s="76"/>
      <c r="AA201" s="76"/>
      <c r="AB201" s="76"/>
      <c r="AC201" s="76"/>
      <c r="AD201" s="77"/>
      <c r="AE201" s="77"/>
      <c r="AF201" s="47"/>
    </row>
    <row r="202" spans="1:32" x14ac:dyDescent="0.2">
      <c r="A202" s="76"/>
      <c r="B202" s="76"/>
      <c r="C202" s="76"/>
      <c r="D202" s="76"/>
      <c r="E202" s="76"/>
      <c r="F202" s="77"/>
      <c r="G202" s="77"/>
      <c r="H202" s="76"/>
      <c r="I202" s="76"/>
      <c r="J202" s="76"/>
      <c r="K202" s="76"/>
      <c r="L202" s="76"/>
      <c r="M202" s="76"/>
      <c r="N202" s="76"/>
      <c r="O202" s="76"/>
      <c r="P202" s="76"/>
      <c r="Q202" s="76"/>
      <c r="R202" s="76"/>
      <c r="S202" s="76"/>
      <c r="T202" s="76"/>
      <c r="U202" s="76"/>
      <c r="V202" s="76"/>
      <c r="W202" s="76"/>
      <c r="X202" s="76"/>
      <c r="Y202" s="76"/>
      <c r="Z202" s="76"/>
      <c r="AA202" s="76"/>
      <c r="AB202" s="76"/>
      <c r="AC202" s="76"/>
      <c r="AD202" s="77"/>
      <c r="AE202" s="77"/>
      <c r="AF202" s="47"/>
    </row>
    <row r="203" spans="1:32" x14ac:dyDescent="0.2">
      <c r="A203" s="76"/>
      <c r="B203" s="76"/>
      <c r="C203" s="76"/>
      <c r="D203" s="76"/>
      <c r="E203" s="76"/>
      <c r="F203" s="77"/>
      <c r="G203" s="77"/>
      <c r="H203" s="76"/>
      <c r="I203" s="76"/>
      <c r="J203" s="76"/>
      <c r="K203" s="76"/>
      <c r="L203" s="76"/>
      <c r="M203" s="76"/>
      <c r="N203" s="76"/>
      <c r="O203" s="76"/>
      <c r="P203" s="76"/>
      <c r="Q203" s="76"/>
      <c r="R203" s="76"/>
      <c r="S203" s="76"/>
      <c r="T203" s="76"/>
      <c r="U203" s="76"/>
      <c r="V203" s="76"/>
      <c r="W203" s="76"/>
      <c r="X203" s="76"/>
      <c r="Y203" s="76"/>
      <c r="Z203" s="76"/>
      <c r="AA203" s="76"/>
      <c r="AB203" s="76"/>
      <c r="AC203" s="76"/>
      <c r="AD203" s="77"/>
      <c r="AE203" s="77"/>
      <c r="AF203" s="47"/>
    </row>
    <row r="204" spans="1:32" x14ac:dyDescent="0.2">
      <c r="A204" s="76"/>
      <c r="B204" s="76"/>
      <c r="C204" s="76"/>
      <c r="D204" s="76"/>
      <c r="E204" s="76"/>
      <c r="F204" s="77"/>
      <c r="G204" s="77"/>
      <c r="H204" s="76"/>
      <c r="I204" s="76"/>
      <c r="J204" s="76"/>
      <c r="K204" s="76"/>
      <c r="L204" s="76"/>
      <c r="M204" s="76"/>
      <c r="N204" s="76"/>
      <c r="O204" s="76"/>
      <c r="P204" s="76"/>
      <c r="Q204" s="76"/>
      <c r="R204" s="76"/>
      <c r="S204" s="76"/>
      <c r="T204" s="76"/>
      <c r="U204" s="76"/>
      <c r="V204" s="76"/>
      <c r="W204" s="76"/>
      <c r="X204" s="76"/>
      <c r="Y204" s="76"/>
      <c r="Z204" s="76"/>
      <c r="AA204" s="76"/>
      <c r="AB204" s="76"/>
      <c r="AC204" s="76"/>
      <c r="AD204" s="77"/>
      <c r="AE204" s="77"/>
      <c r="AF204" s="47"/>
    </row>
    <row r="205" spans="1:32" x14ac:dyDescent="0.2">
      <c r="A205" s="76"/>
      <c r="B205" s="76"/>
      <c r="C205" s="76"/>
      <c r="D205" s="76"/>
      <c r="E205" s="76"/>
      <c r="F205" s="77"/>
      <c r="G205" s="77"/>
      <c r="H205" s="76"/>
      <c r="I205" s="76"/>
      <c r="J205" s="76"/>
      <c r="K205" s="76"/>
      <c r="L205" s="76"/>
      <c r="M205" s="76"/>
      <c r="N205" s="76"/>
      <c r="O205" s="76"/>
      <c r="P205" s="76"/>
      <c r="Q205" s="76"/>
      <c r="R205" s="76"/>
      <c r="S205" s="76"/>
      <c r="T205" s="76"/>
      <c r="U205" s="76"/>
      <c r="V205" s="76"/>
      <c r="W205" s="76"/>
      <c r="X205" s="76"/>
      <c r="Y205" s="76"/>
      <c r="Z205" s="76"/>
      <c r="AA205" s="76"/>
      <c r="AB205" s="76"/>
      <c r="AC205" s="76"/>
      <c r="AD205" s="77"/>
      <c r="AE205" s="77"/>
      <c r="AF205" s="47"/>
    </row>
    <row r="206" spans="1:32" x14ac:dyDescent="0.2">
      <c r="A206" s="76"/>
      <c r="B206" s="76"/>
      <c r="C206" s="76"/>
      <c r="D206" s="76"/>
      <c r="E206" s="76"/>
      <c r="F206" s="77"/>
      <c r="G206" s="77"/>
      <c r="H206" s="76"/>
      <c r="I206" s="76"/>
      <c r="J206" s="76"/>
      <c r="K206" s="76"/>
      <c r="L206" s="76"/>
      <c r="M206" s="76"/>
      <c r="N206" s="76"/>
      <c r="O206" s="76"/>
      <c r="P206" s="76"/>
      <c r="Q206" s="76"/>
      <c r="R206" s="76"/>
      <c r="S206" s="76"/>
      <c r="T206" s="76"/>
      <c r="U206" s="76"/>
      <c r="V206" s="76"/>
      <c r="W206" s="76"/>
      <c r="X206" s="76"/>
      <c r="Y206" s="76"/>
      <c r="Z206" s="76"/>
      <c r="AA206" s="76"/>
      <c r="AB206" s="76"/>
      <c r="AC206" s="76"/>
      <c r="AD206" s="77"/>
      <c r="AE206" s="77"/>
      <c r="AF206" s="47"/>
    </row>
    <row r="207" spans="1:32" x14ac:dyDescent="0.2">
      <c r="A207" s="76"/>
      <c r="B207" s="76"/>
      <c r="C207" s="76"/>
      <c r="D207" s="76"/>
      <c r="E207" s="76"/>
      <c r="F207" s="77"/>
      <c r="G207" s="77"/>
      <c r="H207" s="76"/>
      <c r="I207" s="76"/>
      <c r="J207" s="76"/>
      <c r="K207" s="76"/>
      <c r="L207" s="76"/>
      <c r="M207" s="76"/>
      <c r="N207" s="76"/>
      <c r="O207" s="76"/>
      <c r="P207" s="76"/>
      <c r="Q207" s="76"/>
      <c r="R207" s="76"/>
      <c r="S207" s="76"/>
      <c r="T207" s="76"/>
      <c r="U207" s="76"/>
      <c r="V207" s="76"/>
      <c r="W207" s="76"/>
      <c r="X207" s="76"/>
      <c r="Y207" s="76"/>
      <c r="Z207" s="76"/>
      <c r="AA207" s="76"/>
      <c r="AB207" s="76"/>
      <c r="AC207" s="76"/>
      <c r="AD207" s="77"/>
      <c r="AE207" s="77"/>
      <c r="AF207" s="47"/>
    </row>
    <row r="208" spans="1:32" x14ac:dyDescent="0.2">
      <c r="A208" s="76"/>
      <c r="B208" s="76"/>
      <c r="C208" s="76"/>
      <c r="D208" s="76"/>
      <c r="E208" s="76"/>
      <c r="F208" s="77"/>
      <c r="G208" s="77"/>
      <c r="H208" s="76"/>
      <c r="I208" s="76"/>
      <c r="J208" s="76"/>
      <c r="K208" s="76"/>
      <c r="L208" s="76"/>
      <c r="M208" s="76"/>
      <c r="N208" s="76"/>
      <c r="O208" s="76"/>
      <c r="P208" s="76"/>
      <c r="Q208" s="76"/>
      <c r="R208" s="76"/>
      <c r="S208" s="76"/>
      <c r="T208" s="76"/>
      <c r="U208" s="76"/>
      <c r="V208" s="76"/>
      <c r="W208" s="76"/>
      <c r="X208" s="76"/>
      <c r="Y208" s="76"/>
      <c r="Z208" s="76"/>
      <c r="AA208" s="76"/>
      <c r="AB208" s="76"/>
      <c r="AC208" s="76"/>
      <c r="AD208" s="77"/>
      <c r="AE208" s="77"/>
      <c r="AF208" s="47"/>
    </row>
    <row r="209" spans="1:32" x14ac:dyDescent="0.2">
      <c r="A209" s="76"/>
      <c r="B209" s="76"/>
      <c r="C209" s="76"/>
      <c r="D209" s="76"/>
      <c r="E209" s="76"/>
      <c r="F209" s="77"/>
      <c r="G209" s="77"/>
      <c r="H209" s="76"/>
      <c r="I209" s="76"/>
      <c r="J209" s="76"/>
      <c r="K209" s="76"/>
      <c r="L209" s="76"/>
      <c r="M209" s="76"/>
      <c r="N209" s="76"/>
      <c r="O209" s="76"/>
      <c r="P209" s="76"/>
      <c r="Q209" s="76"/>
      <c r="R209" s="76"/>
      <c r="S209" s="76"/>
      <c r="T209" s="76"/>
      <c r="U209" s="76"/>
      <c r="V209" s="76"/>
      <c r="W209" s="76"/>
      <c r="X209" s="76"/>
      <c r="Y209" s="76"/>
      <c r="Z209" s="76"/>
      <c r="AA209" s="76"/>
      <c r="AB209" s="76"/>
      <c r="AC209" s="76"/>
      <c r="AD209" s="77"/>
      <c r="AE209" s="77"/>
      <c r="AF209" s="47"/>
    </row>
    <row r="210" spans="1:32" x14ac:dyDescent="0.2">
      <c r="A210" s="76"/>
      <c r="B210" s="76"/>
      <c r="C210" s="76"/>
      <c r="D210" s="76"/>
      <c r="E210" s="76"/>
      <c r="F210" s="77"/>
      <c r="G210" s="77"/>
      <c r="H210" s="76"/>
      <c r="I210" s="76"/>
      <c r="J210" s="76"/>
      <c r="K210" s="76"/>
      <c r="L210" s="76"/>
      <c r="M210" s="76"/>
      <c r="N210" s="76"/>
      <c r="O210" s="76"/>
      <c r="P210" s="76"/>
      <c r="Q210" s="76"/>
      <c r="R210" s="76"/>
      <c r="S210" s="76"/>
      <c r="T210" s="76"/>
      <c r="U210" s="76"/>
      <c r="V210" s="76"/>
      <c r="W210" s="76"/>
      <c r="X210" s="76"/>
      <c r="Y210" s="76"/>
      <c r="Z210" s="76"/>
      <c r="AA210" s="76"/>
      <c r="AB210" s="76"/>
      <c r="AC210" s="76"/>
      <c r="AD210" s="77"/>
      <c r="AE210" s="77"/>
      <c r="AF210" s="47"/>
    </row>
    <row r="211" spans="1:32" x14ac:dyDescent="0.2">
      <c r="A211" s="76"/>
      <c r="B211" s="76"/>
      <c r="C211" s="76"/>
      <c r="D211" s="76"/>
      <c r="E211" s="76"/>
      <c r="F211" s="77"/>
      <c r="G211" s="77"/>
      <c r="H211" s="76"/>
      <c r="I211" s="76"/>
      <c r="J211" s="76"/>
      <c r="K211" s="76"/>
      <c r="L211" s="76"/>
      <c r="M211" s="76"/>
      <c r="N211" s="76"/>
      <c r="O211" s="76"/>
      <c r="P211" s="76"/>
      <c r="Q211" s="76"/>
      <c r="R211" s="76"/>
      <c r="S211" s="76"/>
      <c r="T211" s="76"/>
      <c r="U211" s="76"/>
      <c r="V211" s="76"/>
      <c r="W211" s="76"/>
      <c r="X211" s="76"/>
      <c r="Y211" s="76"/>
      <c r="Z211" s="76"/>
      <c r="AA211" s="76"/>
      <c r="AB211" s="76"/>
      <c r="AC211" s="76"/>
      <c r="AD211" s="77"/>
      <c r="AE211" s="77"/>
      <c r="AF211" s="47"/>
    </row>
    <row r="212" spans="1:32" x14ac:dyDescent="0.2">
      <c r="A212" s="76"/>
      <c r="B212" s="76"/>
      <c r="C212" s="76"/>
      <c r="D212" s="76"/>
      <c r="E212" s="76"/>
      <c r="F212" s="77"/>
      <c r="G212" s="77"/>
      <c r="H212" s="76"/>
      <c r="I212" s="76"/>
      <c r="J212" s="76"/>
      <c r="K212" s="76"/>
      <c r="L212" s="76"/>
      <c r="M212" s="76"/>
      <c r="N212" s="76"/>
      <c r="O212" s="76"/>
      <c r="P212" s="76"/>
      <c r="Q212" s="76"/>
      <c r="R212" s="76"/>
      <c r="S212" s="76"/>
      <c r="T212" s="76"/>
      <c r="U212" s="76"/>
      <c r="V212" s="76"/>
      <c r="W212" s="76"/>
      <c r="X212" s="76"/>
      <c r="Y212" s="76"/>
      <c r="Z212" s="76"/>
      <c r="AA212" s="76"/>
      <c r="AB212" s="76"/>
      <c r="AC212" s="76"/>
      <c r="AD212" s="77"/>
      <c r="AE212" s="77"/>
      <c r="AF212" s="47"/>
    </row>
    <row r="213" spans="1:32" x14ac:dyDescent="0.2">
      <c r="A213" s="76"/>
      <c r="B213" s="76"/>
      <c r="C213" s="76"/>
      <c r="D213" s="76"/>
      <c r="E213" s="76"/>
      <c r="F213" s="77"/>
      <c r="G213" s="77"/>
      <c r="H213" s="76"/>
      <c r="I213" s="76"/>
      <c r="J213" s="76"/>
      <c r="K213" s="76"/>
      <c r="L213" s="76"/>
      <c r="M213" s="76"/>
      <c r="N213" s="76"/>
      <c r="O213" s="76"/>
      <c r="P213" s="76"/>
      <c r="Q213" s="76"/>
      <c r="R213" s="76"/>
      <c r="S213" s="76"/>
      <c r="T213" s="76"/>
      <c r="U213" s="76"/>
      <c r="V213" s="76"/>
      <c r="W213" s="76"/>
      <c r="X213" s="76"/>
      <c r="Y213" s="76"/>
      <c r="Z213" s="76"/>
      <c r="AA213" s="76"/>
      <c r="AB213" s="76"/>
      <c r="AC213" s="76"/>
      <c r="AD213" s="77"/>
      <c r="AE213" s="77"/>
      <c r="AF213" s="47"/>
    </row>
    <row r="214" spans="1:32" x14ac:dyDescent="0.2">
      <c r="A214" s="76"/>
      <c r="B214" s="76"/>
      <c r="C214" s="76"/>
      <c r="D214" s="76"/>
      <c r="E214" s="76"/>
      <c r="F214" s="77"/>
      <c r="G214" s="77"/>
      <c r="H214" s="76"/>
      <c r="I214" s="76"/>
      <c r="J214" s="76"/>
      <c r="K214" s="76"/>
      <c r="L214" s="76"/>
      <c r="M214" s="76"/>
      <c r="N214" s="76"/>
      <c r="O214" s="76"/>
      <c r="P214" s="76"/>
      <c r="Q214" s="76"/>
      <c r="R214" s="76"/>
      <c r="S214" s="76"/>
      <c r="T214" s="76"/>
      <c r="U214" s="76"/>
      <c r="V214" s="76"/>
      <c r="W214" s="76"/>
      <c r="X214" s="76"/>
      <c r="Y214" s="76"/>
      <c r="Z214" s="76"/>
      <c r="AA214" s="76"/>
      <c r="AB214" s="76"/>
      <c r="AC214" s="76"/>
      <c r="AD214" s="77"/>
      <c r="AE214" s="77"/>
      <c r="AF214" s="47"/>
    </row>
    <row r="215" spans="1:32" x14ac:dyDescent="0.2">
      <c r="A215" s="76"/>
      <c r="B215" s="76"/>
      <c r="C215" s="76"/>
      <c r="D215" s="76"/>
      <c r="E215" s="76"/>
      <c r="F215" s="77"/>
      <c r="G215" s="77"/>
      <c r="H215" s="76"/>
      <c r="I215" s="76"/>
      <c r="J215" s="76"/>
      <c r="K215" s="76"/>
      <c r="L215" s="76"/>
      <c r="M215" s="76"/>
      <c r="N215" s="76"/>
      <c r="O215" s="76"/>
      <c r="P215" s="76"/>
      <c r="Q215" s="76"/>
      <c r="R215" s="76"/>
      <c r="S215" s="76"/>
      <c r="T215" s="76"/>
      <c r="U215" s="76"/>
      <c r="V215" s="76"/>
      <c r="W215" s="76"/>
      <c r="X215" s="76"/>
      <c r="Y215" s="76"/>
      <c r="Z215" s="76"/>
      <c r="AA215" s="76"/>
      <c r="AB215" s="76"/>
      <c r="AC215" s="76"/>
      <c r="AD215" s="77"/>
      <c r="AE215" s="77"/>
      <c r="AF215" s="47"/>
    </row>
    <row r="216" spans="1:32" x14ac:dyDescent="0.2">
      <c r="A216" s="76"/>
      <c r="B216" s="76"/>
      <c r="C216" s="76"/>
      <c r="D216" s="76"/>
      <c r="E216" s="76"/>
      <c r="F216" s="77"/>
      <c r="G216" s="77"/>
      <c r="H216" s="76"/>
      <c r="I216" s="76"/>
      <c r="J216" s="76"/>
      <c r="K216" s="76"/>
      <c r="L216" s="76"/>
      <c r="M216" s="76"/>
      <c r="N216" s="76"/>
      <c r="O216" s="76"/>
      <c r="P216" s="76"/>
      <c r="Q216" s="76"/>
      <c r="R216" s="76"/>
      <c r="S216" s="76"/>
      <c r="T216" s="76"/>
      <c r="U216" s="76"/>
      <c r="V216" s="76"/>
      <c r="W216" s="76"/>
      <c r="X216" s="76"/>
      <c r="Y216" s="76"/>
      <c r="Z216" s="76"/>
      <c r="AA216" s="76"/>
      <c r="AB216" s="76"/>
      <c r="AC216" s="76"/>
      <c r="AD216" s="77"/>
      <c r="AE216" s="77"/>
      <c r="AF216" s="47"/>
    </row>
    <row r="217" spans="1:32" x14ac:dyDescent="0.2">
      <c r="A217" s="76"/>
      <c r="B217" s="76"/>
      <c r="C217" s="76"/>
      <c r="D217" s="76"/>
      <c r="E217" s="76"/>
      <c r="F217" s="77"/>
      <c r="G217" s="77"/>
      <c r="H217" s="76"/>
      <c r="I217" s="76"/>
      <c r="J217" s="76"/>
      <c r="K217" s="76"/>
      <c r="L217" s="76"/>
      <c r="M217" s="76"/>
      <c r="N217" s="76"/>
      <c r="O217" s="76"/>
      <c r="P217" s="76"/>
      <c r="Q217" s="76"/>
      <c r="R217" s="76"/>
      <c r="S217" s="76"/>
      <c r="T217" s="76"/>
      <c r="U217" s="76"/>
      <c r="V217" s="76"/>
      <c r="W217" s="76"/>
      <c r="X217" s="76"/>
      <c r="Y217" s="76"/>
      <c r="Z217" s="76"/>
      <c r="AA217" s="76"/>
      <c r="AB217" s="76"/>
      <c r="AC217" s="76"/>
      <c r="AD217" s="77"/>
      <c r="AE217" s="77"/>
      <c r="AF217" s="47"/>
    </row>
    <row r="218" spans="1:32" x14ac:dyDescent="0.2">
      <c r="A218" s="76"/>
      <c r="B218" s="76"/>
      <c r="C218" s="76"/>
      <c r="D218" s="76"/>
      <c r="E218" s="76"/>
      <c r="F218" s="77"/>
      <c r="G218" s="77"/>
      <c r="H218" s="76"/>
      <c r="I218" s="76"/>
      <c r="J218" s="76"/>
      <c r="K218" s="76"/>
      <c r="L218" s="76"/>
      <c r="M218" s="76"/>
      <c r="N218" s="76"/>
      <c r="O218" s="76"/>
      <c r="P218" s="76"/>
      <c r="Q218" s="76"/>
      <c r="R218" s="76"/>
      <c r="S218" s="76"/>
      <c r="T218" s="76"/>
      <c r="U218" s="76"/>
      <c r="V218" s="76"/>
      <c r="W218" s="76"/>
      <c r="X218" s="76"/>
      <c r="Y218" s="76"/>
      <c r="Z218" s="76"/>
      <c r="AA218" s="76"/>
      <c r="AB218" s="76"/>
      <c r="AC218" s="76"/>
      <c r="AD218" s="77"/>
      <c r="AE218" s="77"/>
      <c r="AF218" s="47"/>
    </row>
    <row r="219" spans="1:32" x14ac:dyDescent="0.2">
      <c r="A219" s="76"/>
      <c r="B219" s="76"/>
      <c r="C219" s="76"/>
      <c r="D219" s="76"/>
      <c r="E219" s="76"/>
      <c r="F219" s="77"/>
      <c r="G219" s="77"/>
      <c r="H219" s="76"/>
      <c r="I219" s="76"/>
      <c r="J219" s="76"/>
      <c r="K219" s="76"/>
      <c r="L219" s="76"/>
      <c r="M219" s="76"/>
      <c r="N219" s="76"/>
      <c r="O219" s="76"/>
      <c r="P219" s="76"/>
      <c r="Q219" s="76"/>
      <c r="R219" s="76"/>
      <c r="S219" s="76"/>
      <c r="T219" s="76"/>
      <c r="U219" s="76"/>
      <c r="V219" s="76"/>
      <c r="W219" s="76"/>
      <c r="X219" s="76"/>
      <c r="Y219" s="76"/>
      <c r="Z219" s="76"/>
      <c r="AA219" s="76"/>
      <c r="AB219" s="76"/>
      <c r="AC219" s="76"/>
      <c r="AD219" s="77"/>
      <c r="AE219" s="77"/>
      <c r="AF219" s="47"/>
    </row>
    <row r="220" spans="1:32" x14ac:dyDescent="0.2">
      <c r="A220" s="76"/>
      <c r="B220" s="76"/>
      <c r="C220" s="76"/>
      <c r="D220" s="76"/>
      <c r="E220" s="76"/>
      <c r="F220" s="77"/>
      <c r="G220" s="77"/>
      <c r="H220" s="76"/>
      <c r="I220" s="76"/>
      <c r="J220" s="76"/>
      <c r="K220" s="76"/>
      <c r="L220" s="76"/>
      <c r="M220" s="76"/>
      <c r="N220" s="76"/>
      <c r="O220" s="76"/>
      <c r="P220" s="76"/>
      <c r="Q220" s="76"/>
      <c r="R220" s="76"/>
      <c r="S220" s="76"/>
      <c r="T220" s="76"/>
      <c r="U220" s="76"/>
      <c r="V220" s="76"/>
      <c r="W220" s="76"/>
      <c r="X220" s="76"/>
      <c r="Y220" s="76"/>
      <c r="Z220" s="76"/>
      <c r="AA220" s="76"/>
      <c r="AB220" s="76"/>
      <c r="AC220" s="76"/>
      <c r="AD220" s="77"/>
      <c r="AE220" s="77"/>
      <c r="AF220" s="47"/>
    </row>
    <row r="221" spans="1:32" x14ac:dyDescent="0.2">
      <c r="A221" s="76"/>
      <c r="B221" s="76"/>
      <c r="C221" s="76"/>
      <c r="D221" s="76"/>
      <c r="E221" s="76"/>
      <c r="F221" s="77"/>
      <c r="G221" s="77"/>
      <c r="H221" s="76"/>
      <c r="I221" s="76"/>
      <c r="J221" s="76"/>
      <c r="K221" s="76"/>
      <c r="L221" s="76"/>
      <c r="M221" s="76"/>
      <c r="N221" s="76"/>
      <c r="O221" s="76"/>
      <c r="P221" s="76"/>
      <c r="Q221" s="76"/>
      <c r="R221" s="76"/>
      <c r="S221" s="76"/>
      <c r="T221" s="76"/>
      <c r="U221" s="76"/>
      <c r="V221" s="76"/>
      <c r="W221" s="76"/>
      <c r="X221" s="76"/>
      <c r="Y221" s="76"/>
      <c r="Z221" s="76"/>
      <c r="AA221" s="76"/>
      <c r="AB221" s="76"/>
      <c r="AC221" s="76"/>
      <c r="AD221" s="77"/>
      <c r="AE221" s="77"/>
      <c r="AF221" s="47"/>
    </row>
    <row r="222" spans="1:32" x14ac:dyDescent="0.2">
      <c r="A222" s="76"/>
      <c r="B222" s="76"/>
      <c r="C222" s="76"/>
      <c r="D222" s="76"/>
      <c r="E222" s="76"/>
      <c r="F222" s="77"/>
      <c r="G222" s="77"/>
      <c r="H222" s="76"/>
      <c r="I222" s="76"/>
      <c r="J222" s="76"/>
      <c r="K222" s="76"/>
      <c r="L222" s="76"/>
      <c r="M222" s="76"/>
      <c r="N222" s="76"/>
      <c r="O222" s="76"/>
      <c r="P222" s="76"/>
      <c r="Q222" s="76"/>
      <c r="R222" s="76"/>
      <c r="S222" s="76"/>
      <c r="T222" s="76"/>
      <c r="U222" s="76"/>
      <c r="V222" s="76"/>
      <c r="W222" s="76"/>
      <c r="X222" s="76"/>
      <c r="Y222" s="76"/>
      <c r="Z222" s="76"/>
      <c r="AA222" s="76"/>
      <c r="AB222" s="76"/>
      <c r="AC222" s="76"/>
      <c r="AD222" s="77"/>
      <c r="AE222" s="77"/>
      <c r="AF222" s="47"/>
    </row>
    <row r="223" spans="1:32" x14ac:dyDescent="0.2">
      <c r="A223" s="76"/>
      <c r="B223" s="76"/>
      <c r="C223" s="76"/>
      <c r="D223" s="76"/>
      <c r="E223" s="76"/>
      <c r="F223" s="77"/>
      <c r="G223" s="77"/>
      <c r="H223" s="76"/>
      <c r="I223" s="76"/>
      <c r="J223" s="76"/>
      <c r="K223" s="76"/>
      <c r="L223" s="76"/>
      <c r="M223" s="76"/>
      <c r="N223" s="76"/>
      <c r="O223" s="76"/>
      <c r="P223" s="76"/>
      <c r="Q223" s="76"/>
      <c r="R223" s="76"/>
      <c r="S223" s="76"/>
      <c r="T223" s="76"/>
      <c r="U223" s="76"/>
      <c r="V223" s="76"/>
      <c r="W223" s="76"/>
      <c r="X223" s="76"/>
      <c r="Y223" s="76"/>
      <c r="Z223" s="76"/>
      <c r="AA223" s="76"/>
      <c r="AB223" s="76"/>
      <c r="AC223" s="76"/>
      <c r="AD223" s="77"/>
      <c r="AE223" s="77"/>
      <c r="AF223" s="47"/>
    </row>
    <row r="224" spans="1:32" x14ac:dyDescent="0.2">
      <c r="A224" s="76"/>
      <c r="B224" s="76"/>
      <c r="C224" s="76"/>
      <c r="D224" s="76"/>
      <c r="E224" s="76"/>
      <c r="F224" s="77"/>
      <c r="G224" s="77"/>
      <c r="H224" s="76"/>
      <c r="I224" s="76"/>
      <c r="J224" s="76"/>
      <c r="K224" s="76"/>
      <c r="L224" s="76"/>
      <c r="M224" s="76"/>
      <c r="N224" s="76"/>
      <c r="O224" s="76"/>
      <c r="P224" s="76"/>
      <c r="Q224" s="76"/>
      <c r="R224" s="76"/>
      <c r="S224" s="76"/>
      <c r="T224" s="76"/>
      <c r="U224" s="76"/>
      <c r="V224" s="76"/>
      <c r="W224" s="76"/>
      <c r="X224" s="76"/>
      <c r="Y224" s="76"/>
      <c r="Z224" s="76"/>
      <c r="AA224" s="76"/>
      <c r="AB224" s="76"/>
      <c r="AC224" s="76"/>
      <c r="AD224" s="77"/>
      <c r="AE224" s="77"/>
      <c r="AF224" s="47"/>
    </row>
    <row r="225" spans="1:32" x14ac:dyDescent="0.2">
      <c r="A225" s="76"/>
      <c r="B225" s="76"/>
      <c r="C225" s="76"/>
      <c r="D225" s="76"/>
      <c r="E225" s="76"/>
      <c r="F225" s="77"/>
      <c r="G225" s="77"/>
      <c r="H225" s="76"/>
      <c r="I225" s="76"/>
      <c r="J225" s="76"/>
      <c r="K225" s="76"/>
      <c r="L225" s="76"/>
      <c r="M225" s="76"/>
      <c r="N225" s="76"/>
      <c r="O225" s="76"/>
      <c r="P225" s="76"/>
      <c r="Q225" s="76"/>
      <c r="R225" s="76"/>
      <c r="S225" s="76"/>
      <c r="T225" s="76"/>
      <c r="U225" s="76"/>
      <c r="V225" s="76"/>
      <c r="W225" s="76"/>
      <c r="X225" s="76"/>
      <c r="Y225" s="76"/>
      <c r="Z225" s="76"/>
      <c r="AA225" s="76"/>
      <c r="AB225" s="76"/>
      <c r="AC225" s="76"/>
      <c r="AD225" s="77"/>
      <c r="AE225" s="77"/>
      <c r="AF225" s="47"/>
    </row>
    <row r="226" spans="1:32" x14ac:dyDescent="0.2">
      <c r="A226" s="76"/>
      <c r="B226" s="76"/>
      <c r="C226" s="76"/>
      <c r="D226" s="76"/>
      <c r="E226" s="76"/>
      <c r="F226" s="77"/>
      <c r="G226" s="77"/>
      <c r="H226" s="76"/>
      <c r="I226" s="76"/>
      <c r="J226" s="76"/>
      <c r="K226" s="76"/>
      <c r="L226" s="76"/>
      <c r="M226" s="76"/>
      <c r="N226" s="76"/>
      <c r="O226" s="76"/>
      <c r="P226" s="76"/>
      <c r="Q226" s="76"/>
      <c r="R226" s="76"/>
      <c r="S226" s="76"/>
      <c r="T226" s="76"/>
      <c r="U226" s="76"/>
      <c r="V226" s="76"/>
      <c r="W226" s="76"/>
      <c r="X226" s="76"/>
      <c r="Y226" s="76"/>
      <c r="Z226" s="76"/>
      <c r="AA226" s="76"/>
      <c r="AB226" s="76"/>
      <c r="AC226" s="76"/>
      <c r="AD226" s="77"/>
      <c r="AE226" s="77"/>
      <c r="AF226" s="47"/>
    </row>
    <row r="227" spans="1:32" x14ac:dyDescent="0.2">
      <c r="A227" s="76"/>
      <c r="B227" s="76"/>
      <c r="C227" s="76"/>
      <c r="D227" s="76"/>
      <c r="E227" s="76"/>
      <c r="F227" s="77"/>
      <c r="G227" s="77"/>
      <c r="H227" s="76"/>
      <c r="I227" s="76"/>
      <c r="J227" s="76"/>
      <c r="K227" s="76"/>
      <c r="L227" s="76"/>
      <c r="M227" s="76"/>
      <c r="N227" s="76"/>
      <c r="O227" s="76"/>
      <c r="P227" s="76"/>
      <c r="Q227" s="76"/>
      <c r="R227" s="76"/>
      <c r="S227" s="76"/>
      <c r="T227" s="76"/>
      <c r="U227" s="76"/>
      <c r="V227" s="76"/>
      <c r="W227" s="76"/>
      <c r="X227" s="76"/>
      <c r="Y227" s="76"/>
      <c r="Z227" s="76"/>
      <c r="AA227" s="76"/>
      <c r="AB227" s="76"/>
      <c r="AC227" s="76"/>
      <c r="AD227" s="77"/>
      <c r="AE227" s="77"/>
      <c r="AF227" s="47"/>
    </row>
    <row r="228" spans="1:32" x14ac:dyDescent="0.2">
      <c r="A228" s="76"/>
      <c r="B228" s="76"/>
      <c r="C228" s="76"/>
      <c r="D228" s="76"/>
      <c r="E228" s="76"/>
      <c r="F228" s="77"/>
      <c r="G228" s="77"/>
      <c r="H228" s="76"/>
      <c r="I228" s="76"/>
      <c r="J228" s="76"/>
      <c r="K228" s="76"/>
      <c r="L228" s="76"/>
      <c r="M228" s="76"/>
      <c r="N228" s="76"/>
      <c r="O228" s="76"/>
      <c r="P228" s="76"/>
      <c r="Q228" s="76"/>
      <c r="R228" s="76"/>
      <c r="S228" s="76"/>
      <c r="T228" s="76"/>
      <c r="U228" s="76"/>
      <c r="V228" s="76"/>
      <c r="W228" s="76"/>
      <c r="X228" s="76"/>
      <c r="Y228" s="76"/>
      <c r="Z228" s="76"/>
      <c r="AA228" s="76"/>
      <c r="AB228" s="76"/>
      <c r="AC228" s="76"/>
      <c r="AD228" s="77"/>
      <c r="AE228" s="77"/>
      <c r="AF228" s="47"/>
    </row>
    <row r="229" spans="1:32" x14ac:dyDescent="0.2">
      <c r="A229" s="76"/>
      <c r="B229" s="76"/>
      <c r="C229" s="76"/>
      <c r="D229" s="76"/>
      <c r="E229" s="76"/>
      <c r="F229" s="77"/>
      <c r="G229" s="77"/>
      <c r="H229" s="76"/>
      <c r="I229" s="76"/>
      <c r="J229" s="76"/>
      <c r="K229" s="76"/>
      <c r="L229" s="76"/>
      <c r="M229" s="76"/>
      <c r="N229" s="76"/>
      <c r="O229" s="76"/>
      <c r="P229" s="76"/>
      <c r="Q229" s="76"/>
      <c r="R229" s="76"/>
      <c r="S229" s="76"/>
      <c r="T229" s="76"/>
      <c r="U229" s="76"/>
      <c r="V229" s="76"/>
      <c r="W229" s="76"/>
      <c r="X229" s="76"/>
      <c r="Y229" s="76"/>
      <c r="Z229" s="76"/>
      <c r="AA229" s="76"/>
      <c r="AB229" s="76"/>
      <c r="AC229" s="76"/>
      <c r="AD229" s="77"/>
      <c r="AE229" s="77"/>
      <c r="AF229" s="47"/>
    </row>
    <row r="230" spans="1:32" x14ac:dyDescent="0.2">
      <c r="A230" s="76"/>
      <c r="B230" s="76"/>
      <c r="C230" s="76"/>
      <c r="D230" s="76"/>
      <c r="E230" s="76"/>
      <c r="F230" s="77"/>
      <c r="G230" s="77"/>
      <c r="H230" s="76"/>
      <c r="I230" s="76"/>
      <c r="J230" s="76"/>
      <c r="K230" s="76"/>
      <c r="L230" s="76"/>
      <c r="M230" s="76"/>
      <c r="N230" s="76"/>
      <c r="O230" s="76"/>
      <c r="P230" s="76"/>
      <c r="Q230" s="76"/>
      <c r="R230" s="76"/>
      <c r="S230" s="76"/>
      <c r="T230" s="76"/>
      <c r="U230" s="76"/>
      <c r="V230" s="76"/>
      <c r="W230" s="76"/>
      <c r="X230" s="76"/>
      <c r="Y230" s="76"/>
      <c r="Z230" s="76"/>
      <c r="AA230" s="76"/>
      <c r="AB230" s="76"/>
      <c r="AC230" s="76"/>
      <c r="AD230" s="77"/>
      <c r="AE230" s="77"/>
      <c r="AF230" s="47"/>
    </row>
    <row r="231" spans="1:32" x14ac:dyDescent="0.2">
      <c r="A231" s="76"/>
      <c r="B231" s="76"/>
      <c r="C231" s="76"/>
      <c r="D231" s="76"/>
      <c r="E231" s="76"/>
      <c r="F231" s="77"/>
      <c r="G231" s="77"/>
      <c r="H231" s="76"/>
      <c r="I231" s="76"/>
      <c r="J231" s="76"/>
      <c r="K231" s="76"/>
      <c r="L231" s="76"/>
      <c r="M231" s="76"/>
      <c r="N231" s="76"/>
      <c r="O231" s="76"/>
      <c r="P231" s="76"/>
      <c r="Q231" s="76"/>
      <c r="R231" s="76"/>
      <c r="S231" s="76"/>
      <c r="T231" s="76"/>
      <c r="U231" s="76"/>
      <c r="V231" s="76"/>
      <c r="W231" s="76"/>
      <c r="X231" s="76"/>
      <c r="Y231" s="76"/>
      <c r="Z231" s="76"/>
      <c r="AA231" s="76"/>
      <c r="AB231" s="76"/>
      <c r="AC231" s="76"/>
      <c r="AD231" s="77"/>
      <c r="AE231" s="77"/>
      <c r="AF231" s="47"/>
    </row>
    <row r="232" spans="1:32" x14ac:dyDescent="0.2">
      <c r="A232" s="76"/>
      <c r="B232" s="76"/>
      <c r="C232" s="76"/>
      <c r="D232" s="76"/>
      <c r="E232" s="76"/>
      <c r="F232" s="77"/>
      <c r="G232" s="77"/>
      <c r="H232" s="76"/>
      <c r="I232" s="76"/>
      <c r="J232" s="76"/>
      <c r="K232" s="76"/>
      <c r="L232" s="76"/>
      <c r="M232" s="76"/>
      <c r="N232" s="76"/>
      <c r="O232" s="76"/>
      <c r="P232" s="76"/>
      <c r="Q232" s="76"/>
      <c r="R232" s="76"/>
      <c r="S232" s="76"/>
      <c r="T232" s="76"/>
      <c r="U232" s="76"/>
      <c r="V232" s="76"/>
      <c r="W232" s="76"/>
      <c r="X232" s="76"/>
      <c r="Y232" s="76"/>
      <c r="Z232" s="76"/>
      <c r="AA232" s="76"/>
      <c r="AB232" s="76"/>
      <c r="AC232" s="76"/>
      <c r="AD232" s="77"/>
      <c r="AE232" s="77"/>
      <c r="AF232" s="47"/>
    </row>
    <row r="233" spans="1:32" x14ac:dyDescent="0.2">
      <c r="A233" s="76"/>
      <c r="B233" s="76"/>
      <c r="C233" s="76"/>
      <c r="D233" s="76"/>
      <c r="E233" s="76"/>
      <c r="F233" s="77"/>
      <c r="G233" s="77"/>
      <c r="H233" s="76"/>
      <c r="I233" s="76"/>
      <c r="J233" s="76"/>
      <c r="K233" s="76"/>
      <c r="L233" s="76"/>
      <c r="M233" s="76"/>
      <c r="N233" s="76"/>
      <c r="O233" s="76"/>
      <c r="P233" s="76"/>
      <c r="Q233" s="76"/>
      <c r="R233" s="76"/>
      <c r="S233" s="76"/>
      <c r="T233" s="76"/>
      <c r="U233" s="76"/>
      <c r="V233" s="76"/>
      <c r="W233" s="76"/>
      <c r="X233" s="76"/>
      <c r="Y233" s="76"/>
      <c r="Z233" s="76"/>
      <c r="AA233" s="76"/>
      <c r="AB233" s="76"/>
      <c r="AC233" s="76"/>
      <c r="AD233" s="77"/>
      <c r="AE233" s="77"/>
      <c r="AF233" s="47"/>
    </row>
    <row r="234" spans="1:32" x14ac:dyDescent="0.2">
      <c r="A234" s="76"/>
      <c r="B234" s="76"/>
      <c r="C234" s="76"/>
      <c r="D234" s="76"/>
      <c r="E234" s="76"/>
      <c r="F234" s="77"/>
      <c r="G234" s="77"/>
      <c r="H234" s="76"/>
      <c r="I234" s="76"/>
      <c r="J234" s="76"/>
      <c r="K234" s="76"/>
      <c r="L234" s="76"/>
      <c r="M234" s="76"/>
      <c r="N234" s="76"/>
      <c r="O234" s="76"/>
      <c r="P234" s="76"/>
      <c r="Q234" s="76"/>
      <c r="R234" s="76"/>
      <c r="S234" s="76"/>
      <c r="T234" s="76"/>
      <c r="U234" s="76"/>
      <c r="V234" s="76"/>
      <c r="W234" s="76"/>
      <c r="X234" s="76"/>
      <c r="Y234" s="76"/>
      <c r="Z234" s="76"/>
      <c r="AA234" s="76"/>
      <c r="AB234" s="76"/>
      <c r="AC234" s="76"/>
      <c r="AD234" s="77"/>
      <c r="AE234" s="77"/>
      <c r="AF234" s="47"/>
    </row>
    <row r="235" spans="1:32" x14ac:dyDescent="0.2">
      <c r="A235" s="76"/>
      <c r="B235" s="76"/>
      <c r="C235" s="76"/>
      <c r="D235" s="76"/>
      <c r="E235" s="76"/>
      <c r="F235" s="77"/>
      <c r="G235" s="77"/>
      <c r="H235" s="76"/>
      <c r="I235" s="76"/>
      <c r="J235" s="76"/>
      <c r="K235" s="76"/>
      <c r="L235" s="76"/>
      <c r="M235" s="76"/>
      <c r="N235" s="76"/>
      <c r="O235" s="76"/>
      <c r="P235" s="76"/>
      <c r="Q235" s="76"/>
      <c r="R235" s="76"/>
      <c r="S235" s="76"/>
      <c r="T235" s="76"/>
      <c r="U235" s="76"/>
      <c r="V235" s="76"/>
      <c r="W235" s="76"/>
      <c r="X235" s="76"/>
      <c r="Y235" s="76"/>
      <c r="Z235" s="76"/>
      <c r="AA235" s="76"/>
      <c r="AB235" s="76"/>
      <c r="AC235" s="76"/>
      <c r="AD235" s="77"/>
      <c r="AE235" s="77"/>
      <c r="AF235" s="47"/>
    </row>
    <row r="236" spans="1:32" x14ac:dyDescent="0.2">
      <c r="A236" s="76"/>
      <c r="B236" s="76"/>
      <c r="C236" s="76"/>
      <c r="D236" s="76"/>
      <c r="E236" s="76"/>
      <c r="F236" s="77"/>
      <c r="G236" s="77"/>
      <c r="H236" s="76"/>
      <c r="I236" s="76"/>
      <c r="J236" s="76"/>
      <c r="K236" s="76"/>
      <c r="L236" s="76"/>
      <c r="M236" s="76"/>
      <c r="N236" s="76"/>
      <c r="O236" s="76"/>
      <c r="P236" s="76"/>
      <c r="Q236" s="76"/>
      <c r="R236" s="76"/>
      <c r="S236" s="76"/>
      <c r="T236" s="76"/>
      <c r="U236" s="76"/>
      <c r="V236" s="76"/>
      <c r="W236" s="76"/>
      <c r="X236" s="76"/>
      <c r="Y236" s="76"/>
      <c r="Z236" s="76"/>
      <c r="AA236" s="76"/>
      <c r="AB236" s="76"/>
      <c r="AC236" s="76"/>
      <c r="AD236" s="77"/>
      <c r="AE236" s="77"/>
      <c r="AF236" s="47"/>
    </row>
    <row r="237" spans="1:32" x14ac:dyDescent="0.2">
      <c r="A237" s="76"/>
      <c r="B237" s="76"/>
      <c r="C237" s="76"/>
      <c r="D237" s="76"/>
      <c r="E237" s="76"/>
      <c r="F237" s="77"/>
      <c r="G237" s="77"/>
      <c r="H237" s="76"/>
      <c r="I237" s="76"/>
      <c r="J237" s="76"/>
      <c r="K237" s="76"/>
      <c r="L237" s="76"/>
      <c r="M237" s="76"/>
      <c r="N237" s="76"/>
      <c r="O237" s="76"/>
      <c r="P237" s="76"/>
      <c r="Q237" s="76"/>
      <c r="R237" s="76"/>
      <c r="S237" s="76"/>
      <c r="T237" s="76"/>
      <c r="U237" s="76"/>
      <c r="V237" s="76"/>
      <c r="W237" s="76"/>
      <c r="X237" s="76"/>
      <c r="Y237" s="76"/>
      <c r="Z237" s="76"/>
      <c r="AA237" s="76"/>
      <c r="AB237" s="76"/>
      <c r="AC237" s="76"/>
      <c r="AD237" s="77"/>
      <c r="AE237" s="77"/>
      <c r="AF237" s="47"/>
    </row>
    <row r="238" spans="1:32" x14ac:dyDescent="0.2">
      <c r="A238" s="76"/>
      <c r="B238" s="76"/>
      <c r="C238" s="76"/>
      <c r="D238" s="76"/>
      <c r="E238" s="76"/>
      <c r="F238" s="77"/>
      <c r="G238" s="77"/>
      <c r="H238" s="76"/>
      <c r="I238" s="76"/>
      <c r="J238" s="76"/>
      <c r="K238" s="76"/>
      <c r="L238" s="76"/>
      <c r="M238" s="76"/>
      <c r="N238" s="76"/>
      <c r="O238" s="76"/>
      <c r="P238" s="76"/>
      <c r="Q238" s="76"/>
      <c r="R238" s="76"/>
      <c r="S238" s="76"/>
      <c r="T238" s="76"/>
      <c r="U238" s="76"/>
      <c r="V238" s="76"/>
      <c r="W238" s="76"/>
      <c r="X238" s="76"/>
      <c r="Y238" s="76"/>
      <c r="Z238" s="76"/>
      <c r="AA238" s="76"/>
      <c r="AB238" s="76"/>
      <c r="AC238" s="76"/>
      <c r="AD238" s="77"/>
      <c r="AE238" s="77"/>
      <c r="AF238" s="47"/>
    </row>
    <row r="239" spans="1:32" x14ac:dyDescent="0.2">
      <c r="A239" s="76"/>
      <c r="B239" s="76"/>
      <c r="C239" s="76"/>
      <c r="D239" s="76"/>
      <c r="E239" s="76"/>
      <c r="F239" s="77"/>
      <c r="G239" s="77"/>
      <c r="H239" s="76"/>
      <c r="I239" s="76"/>
      <c r="J239" s="76"/>
      <c r="K239" s="76"/>
      <c r="L239" s="76"/>
      <c r="M239" s="76"/>
      <c r="N239" s="76"/>
      <c r="O239" s="76"/>
      <c r="P239" s="76"/>
      <c r="Q239" s="76"/>
      <c r="R239" s="76"/>
      <c r="S239" s="76"/>
      <c r="T239" s="76"/>
      <c r="U239" s="76"/>
      <c r="V239" s="76"/>
      <c r="W239" s="76"/>
      <c r="X239" s="76"/>
      <c r="Y239" s="76"/>
      <c r="Z239" s="76"/>
      <c r="AA239" s="76"/>
      <c r="AB239" s="76"/>
      <c r="AC239" s="76"/>
      <c r="AD239" s="77"/>
      <c r="AE239" s="77"/>
      <c r="AF239" s="47"/>
    </row>
    <row r="240" spans="1:32" x14ac:dyDescent="0.2">
      <c r="A240" s="76"/>
      <c r="B240" s="76"/>
      <c r="C240" s="76"/>
      <c r="D240" s="76"/>
      <c r="E240" s="76"/>
      <c r="F240" s="77"/>
      <c r="G240" s="77"/>
      <c r="H240" s="76"/>
      <c r="I240" s="76"/>
      <c r="J240" s="76"/>
      <c r="K240" s="76"/>
      <c r="L240" s="76"/>
      <c r="M240" s="76"/>
      <c r="N240" s="76"/>
      <c r="O240" s="76"/>
      <c r="P240" s="76"/>
      <c r="Q240" s="76"/>
      <c r="R240" s="76"/>
      <c r="S240" s="76"/>
      <c r="T240" s="76"/>
      <c r="U240" s="76"/>
      <c r="V240" s="76"/>
      <c r="W240" s="76"/>
      <c r="X240" s="76"/>
      <c r="Y240" s="76"/>
      <c r="Z240" s="76"/>
      <c r="AA240" s="76"/>
      <c r="AB240" s="76"/>
      <c r="AC240" s="76"/>
      <c r="AD240" s="77"/>
      <c r="AE240" s="77"/>
      <c r="AF240" s="47"/>
    </row>
    <row r="241" spans="1:32" x14ac:dyDescent="0.2">
      <c r="A241" s="76"/>
      <c r="B241" s="76"/>
      <c r="C241" s="76"/>
      <c r="D241" s="76"/>
      <c r="E241" s="76"/>
      <c r="F241" s="77"/>
      <c r="G241" s="77"/>
      <c r="H241" s="76"/>
      <c r="I241" s="76"/>
      <c r="J241" s="76"/>
      <c r="K241" s="76"/>
      <c r="L241" s="76"/>
      <c r="M241" s="76"/>
      <c r="N241" s="76"/>
      <c r="O241" s="76"/>
      <c r="P241" s="76"/>
      <c r="Q241" s="76"/>
      <c r="R241" s="76"/>
      <c r="S241" s="76"/>
      <c r="T241" s="76"/>
      <c r="U241" s="76"/>
      <c r="V241" s="76"/>
      <c r="W241" s="76"/>
      <c r="X241" s="76"/>
      <c r="Y241" s="76"/>
      <c r="Z241" s="76"/>
      <c r="AA241" s="76"/>
      <c r="AB241" s="76"/>
      <c r="AC241" s="76"/>
      <c r="AD241" s="77"/>
      <c r="AE241" s="77"/>
      <c r="AF241" s="47"/>
    </row>
    <row r="242" spans="1:32" x14ac:dyDescent="0.2">
      <c r="A242" s="76"/>
      <c r="B242" s="76"/>
      <c r="C242" s="76"/>
      <c r="D242" s="76"/>
      <c r="E242" s="76"/>
      <c r="F242" s="77"/>
      <c r="G242" s="77"/>
      <c r="H242" s="76"/>
      <c r="I242" s="76"/>
      <c r="J242" s="76"/>
      <c r="K242" s="76"/>
      <c r="L242" s="76"/>
      <c r="M242" s="76"/>
      <c r="N242" s="76"/>
      <c r="O242" s="76"/>
      <c r="P242" s="76"/>
      <c r="Q242" s="76"/>
      <c r="R242" s="76"/>
      <c r="S242" s="76"/>
      <c r="T242" s="76"/>
      <c r="U242" s="76"/>
      <c r="V242" s="76"/>
      <c r="W242" s="76"/>
      <c r="X242" s="76"/>
      <c r="Y242" s="76"/>
      <c r="Z242" s="76"/>
      <c r="AA242" s="76"/>
      <c r="AB242" s="76"/>
      <c r="AC242" s="76"/>
      <c r="AD242" s="77"/>
      <c r="AE242" s="77"/>
      <c r="AF242" s="47"/>
    </row>
    <row r="243" spans="1:32" x14ac:dyDescent="0.2">
      <c r="A243" s="76"/>
      <c r="B243" s="76"/>
      <c r="C243" s="76"/>
      <c r="D243" s="76"/>
      <c r="E243" s="76"/>
      <c r="F243" s="77"/>
      <c r="G243" s="77"/>
      <c r="H243" s="76"/>
      <c r="I243" s="76"/>
      <c r="J243" s="76"/>
      <c r="K243" s="76"/>
      <c r="L243" s="76"/>
      <c r="M243" s="76"/>
      <c r="N243" s="76"/>
      <c r="O243" s="76"/>
      <c r="P243" s="76"/>
      <c r="Q243" s="76"/>
      <c r="R243" s="76"/>
      <c r="S243" s="76"/>
      <c r="T243" s="76"/>
      <c r="U243" s="76"/>
      <c r="V243" s="76"/>
      <c r="W243" s="76"/>
      <c r="X243" s="76"/>
      <c r="Y243" s="76"/>
      <c r="Z243" s="76"/>
      <c r="AA243" s="76"/>
      <c r="AB243" s="76"/>
      <c r="AC243" s="76"/>
      <c r="AD243" s="77"/>
      <c r="AE243" s="77"/>
      <c r="AF243" s="47"/>
    </row>
    <row r="244" spans="1:32" x14ac:dyDescent="0.2">
      <c r="A244" s="76"/>
      <c r="B244" s="76"/>
      <c r="C244" s="76"/>
      <c r="D244" s="76"/>
      <c r="E244" s="76"/>
      <c r="F244" s="77"/>
      <c r="G244" s="77"/>
      <c r="H244" s="76"/>
      <c r="I244" s="76"/>
      <c r="J244" s="76"/>
      <c r="K244" s="76"/>
      <c r="L244" s="76"/>
      <c r="M244" s="76"/>
      <c r="N244" s="76"/>
      <c r="O244" s="76"/>
      <c r="P244" s="76"/>
      <c r="Q244" s="76"/>
      <c r="R244" s="76"/>
      <c r="S244" s="76"/>
      <c r="T244" s="76"/>
      <c r="U244" s="76"/>
      <c r="V244" s="76"/>
      <c r="W244" s="76"/>
      <c r="X244" s="76"/>
      <c r="Y244" s="76"/>
      <c r="Z244" s="76"/>
      <c r="AA244" s="76"/>
      <c r="AB244" s="76"/>
      <c r="AC244" s="76"/>
      <c r="AD244" s="77"/>
      <c r="AE244" s="77"/>
      <c r="AF244" s="47"/>
    </row>
    <row r="245" spans="1:32" x14ac:dyDescent="0.2">
      <c r="A245" s="76"/>
      <c r="B245" s="76"/>
      <c r="C245" s="76"/>
      <c r="D245" s="76"/>
      <c r="E245" s="76"/>
      <c r="F245" s="77"/>
      <c r="G245" s="77"/>
      <c r="H245" s="76"/>
      <c r="I245" s="76"/>
      <c r="J245" s="76"/>
      <c r="K245" s="76"/>
      <c r="L245" s="76"/>
      <c r="M245" s="76"/>
      <c r="N245" s="76"/>
      <c r="O245" s="76"/>
      <c r="P245" s="76"/>
      <c r="Q245" s="76"/>
      <c r="R245" s="76"/>
      <c r="S245" s="76"/>
      <c r="T245" s="76"/>
      <c r="U245" s="76"/>
      <c r="V245" s="76"/>
      <c r="W245" s="76"/>
      <c r="X245" s="76"/>
      <c r="Y245" s="76"/>
      <c r="Z245" s="76"/>
      <c r="AA245" s="76"/>
      <c r="AB245" s="76"/>
      <c r="AC245" s="76"/>
      <c r="AD245" s="77"/>
      <c r="AE245" s="77"/>
      <c r="AF245" s="47"/>
    </row>
    <row r="246" spans="1:32" x14ac:dyDescent="0.2">
      <c r="A246" s="76"/>
      <c r="B246" s="76"/>
      <c r="C246" s="76"/>
      <c r="D246" s="76"/>
      <c r="E246" s="76"/>
      <c r="F246" s="77"/>
      <c r="G246" s="77"/>
      <c r="H246" s="76"/>
      <c r="I246" s="76"/>
      <c r="J246" s="76"/>
      <c r="K246" s="76"/>
      <c r="L246" s="76"/>
      <c r="M246" s="76"/>
      <c r="N246" s="76"/>
      <c r="O246" s="76"/>
      <c r="P246" s="76"/>
      <c r="Q246" s="76"/>
      <c r="R246" s="76"/>
      <c r="S246" s="76"/>
      <c r="T246" s="76"/>
      <c r="U246" s="76"/>
      <c r="V246" s="76"/>
      <c r="W246" s="76"/>
      <c r="X246" s="76"/>
      <c r="Y246" s="76"/>
      <c r="Z246" s="76"/>
      <c r="AA246" s="76"/>
      <c r="AB246" s="76"/>
      <c r="AC246" s="76"/>
      <c r="AD246" s="77"/>
      <c r="AE246" s="77"/>
      <c r="AF246" s="47"/>
    </row>
    <row r="247" spans="1:32" x14ac:dyDescent="0.2">
      <c r="A247" s="76"/>
      <c r="B247" s="76"/>
      <c r="C247" s="76"/>
      <c r="D247" s="76"/>
      <c r="E247" s="76"/>
      <c r="F247" s="77"/>
      <c r="G247" s="77"/>
      <c r="H247" s="76"/>
      <c r="I247" s="76"/>
      <c r="J247" s="76"/>
      <c r="K247" s="76"/>
      <c r="L247" s="76"/>
      <c r="M247" s="76"/>
      <c r="N247" s="76"/>
      <c r="O247" s="76"/>
      <c r="P247" s="76"/>
      <c r="Q247" s="76"/>
      <c r="R247" s="76"/>
      <c r="S247" s="76"/>
      <c r="T247" s="76"/>
      <c r="U247" s="76"/>
      <c r="V247" s="76"/>
      <c r="W247" s="76"/>
      <c r="X247" s="76"/>
      <c r="Y247" s="76"/>
      <c r="Z247" s="76"/>
      <c r="AA247" s="76"/>
      <c r="AB247" s="76"/>
      <c r="AC247" s="76"/>
      <c r="AD247" s="77"/>
      <c r="AE247" s="77"/>
      <c r="AF247" s="47"/>
    </row>
    <row r="248" spans="1:32" x14ac:dyDescent="0.2">
      <c r="A248" s="76"/>
      <c r="B248" s="76"/>
      <c r="C248" s="76"/>
      <c r="D248" s="76"/>
      <c r="E248" s="76"/>
      <c r="F248" s="77"/>
      <c r="G248" s="77"/>
      <c r="H248" s="76"/>
      <c r="I248" s="76"/>
      <c r="J248" s="76"/>
      <c r="K248" s="76"/>
      <c r="L248" s="76"/>
      <c r="M248" s="76"/>
      <c r="N248" s="76"/>
      <c r="O248" s="76"/>
      <c r="P248" s="76"/>
      <c r="Q248" s="76"/>
      <c r="R248" s="76"/>
      <c r="S248" s="76"/>
      <c r="T248" s="76"/>
      <c r="U248" s="76"/>
      <c r="V248" s="76"/>
      <c r="W248" s="76"/>
      <c r="X248" s="76"/>
      <c r="Y248" s="76"/>
      <c r="Z248" s="76"/>
      <c r="AA248" s="76"/>
      <c r="AB248" s="76"/>
      <c r="AC248" s="76"/>
      <c r="AD248" s="77"/>
      <c r="AE248" s="77"/>
      <c r="AF248" s="47"/>
    </row>
    <row r="249" spans="1:32" x14ac:dyDescent="0.2">
      <c r="A249" s="76"/>
      <c r="B249" s="76"/>
      <c r="C249" s="76"/>
      <c r="D249" s="76"/>
      <c r="E249" s="76"/>
      <c r="F249" s="77"/>
      <c r="G249" s="77"/>
      <c r="H249" s="76"/>
      <c r="I249" s="76"/>
      <c r="J249" s="76"/>
      <c r="K249" s="76"/>
      <c r="L249" s="76"/>
      <c r="M249" s="76"/>
      <c r="N249" s="76"/>
      <c r="O249" s="76"/>
      <c r="P249" s="76"/>
      <c r="Q249" s="76"/>
      <c r="R249" s="76"/>
      <c r="S249" s="76"/>
      <c r="T249" s="76"/>
      <c r="U249" s="76"/>
      <c r="V249" s="76"/>
      <c r="W249" s="76"/>
      <c r="X249" s="76"/>
      <c r="Y249" s="76"/>
      <c r="Z249" s="76"/>
      <c r="AA249" s="76"/>
      <c r="AB249" s="76"/>
      <c r="AC249" s="76"/>
      <c r="AD249" s="77"/>
      <c r="AE249" s="77"/>
      <c r="AF249" s="47"/>
    </row>
    <row r="250" spans="1:32" x14ac:dyDescent="0.2">
      <c r="A250" s="76"/>
      <c r="B250" s="76"/>
      <c r="C250" s="76"/>
      <c r="D250" s="76"/>
      <c r="E250" s="76"/>
      <c r="F250" s="77"/>
      <c r="G250" s="77"/>
      <c r="H250" s="76"/>
      <c r="I250" s="76"/>
      <c r="J250" s="76"/>
      <c r="K250" s="76"/>
      <c r="L250" s="76"/>
      <c r="M250" s="76"/>
      <c r="N250" s="76"/>
      <c r="O250" s="76"/>
      <c r="P250" s="76"/>
      <c r="Q250" s="76"/>
      <c r="R250" s="76"/>
      <c r="S250" s="76"/>
      <c r="T250" s="76"/>
      <c r="U250" s="76"/>
      <c r="V250" s="76"/>
      <c r="W250" s="76"/>
      <c r="X250" s="76"/>
      <c r="Y250" s="76"/>
      <c r="Z250" s="76"/>
      <c r="AA250" s="76"/>
      <c r="AB250" s="76"/>
      <c r="AC250" s="76"/>
      <c r="AD250" s="77"/>
      <c r="AE250" s="77"/>
      <c r="AF250" s="47"/>
    </row>
    <row r="251" spans="1:32" x14ac:dyDescent="0.2">
      <c r="A251" s="76"/>
      <c r="B251" s="76"/>
      <c r="C251" s="76"/>
      <c r="D251" s="76"/>
      <c r="E251" s="76"/>
      <c r="F251" s="77"/>
      <c r="G251" s="77"/>
      <c r="H251" s="76"/>
      <c r="I251" s="76"/>
      <c r="J251" s="76"/>
      <c r="K251" s="76"/>
      <c r="L251" s="76"/>
      <c r="M251" s="76"/>
      <c r="N251" s="76"/>
      <c r="O251" s="76"/>
      <c r="P251" s="76"/>
      <c r="Q251" s="76"/>
      <c r="R251" s="76"/>
      <c r="S251" s="76"/>
      <c r="T251" s="76"/>
      <c r="U251" s="76"/>
      <c r="V251" s="76"/>
      <c r="W251" s="76"/>
      <c r="X251" s="76"/>
      <c r="Y251" s="76"/>
      <c r="Z251" s="76"/>
      <c r="AA251" s="76"/>
      <c r="AB251" s="76"/>
      <c r="AC251" s="76"/>
      <c r="AD251" s="77"/>
      <c r="AE251" s="77"/>
      <c r="AF251" s="47"/>
    </row>
    <row r="252" spans="1:32" x14ac:dyDescent="0.2">
      <c r="A252" s="76"/>
      <c r="B252" s="76"/>
      <c r="C252" s="76"/>
      <c r="D252" s="76"/>
      <c r="E252" s="76"/>
      <c r="F252" s="77"/>
      <c r="G252" s="77"/>
      <c r="H252" s="76"/>
      <c r="I252" s="76"/>
      <c r="J252" s="76"/>
      <c r="K252" s="76"/>
      <c r="L252" s="76"/>
      <c r="M252" s="76"/>
      <c r="N252" s="76"/>
      <c r="O252" s="76"/>
      <c r="P252" s="76"/>
      <c r="Q252" s="76"/>
      <c r="R252" s="76"/>
      <c r="S252" s="76"/>
      <c r="T252" s="76"/>
      <c r="U252" s="76"/>
      <c r="V252" s="76"/>
      <c r="W252" s="76"/>
      <c r="X252" s="76"/>
      <c r="Y252" s="76"/>
      <c r="Z252" s="76"/>
      <c r="AA252" s="76"/>
      <c r="AB252" s="76"/>
      <c r="AC252" s="76"/>
      <c r="AD252" s="77"/>
      <c r="AE252" s="77"/>
      <c r="AF252" s="47"/>
    </row>
    <row r="253" spans="1:32" x14ac:dyDescent="0.2">
      <c r="A253" s="76"/>
      <c r="B253" s="76"/>
      <c r="C253" s="76"/>
      <c r="D253" s="76"/>
      <c r="E253" s="76"/>
      <c r="F253" s="77"/>
      <c r="G253" s="77"/>
      <c r="H253" s="76"/>
      <c r="I253" s="76"/>
      <c r="J253" s="76"/>
      <c r="K253" s="76"/>
      <c r="L253" s="76"/>
      <c r="M253" s="76"/>
      <c r="N253" s="76"/>
      <c r="O253" s="76"/>
      <c r="P253" s="76"/>
      <c r="Q253" s="76"/>
      <c r="R253" s="76"/>
      <c r="S253" s="76"/>
      <c r="T253" s="76"/>
      <c r="U253" s="76"/>
      <c r="V253" s="76"/>
      <c r="W253" s="76"/>
      <c r="X253" s="76"/>
      <c r="Y253" s="76"/>
      <c r="Z253" s="76"/>
      <c r="AA253" s="76"/>
      <c r="AB253" s="76"/>
      <c r="AC253" s="76"/>
      <c r="AD253" s="77"/>
      <c r="AE253" s="77"/>
      <c r="AF253" s="47"/>
    </row>
    <row r="254" spans="1:32" x14ac:dyDescent="0.2">
      <c r="A254" s="76"/>
      <c r="B254" s="76"/>
      <c r="C254" s="76"/>
      <c r="D254" s="76"/>
      <c r="E254" s="76"/>
      <c r="F254" s="77"/>
      <c r="G254" s="77"/>
      <c r="H254" s="76"/>
      <c r="I254" s="76"/>
      <c r="J254" s="76"/>
      <c r="K254" s="76"/>
      <c r="L254" s="76"/>
      <c r="M254" s="76"/>
      <c r="N254" s="76"/>
      <c r="O254" s="76"/>
      <c r="P254" s="76"/>
      <c r="Q254" s="76"/>
      <c r="R254" s="76"/>
      <c r="S254" s="76"/>
      <c r="T254" s="76"/>
      <c r="U254" s="76"/>
      <c r="V254" s="76"/>
      <c r="W254" s="76"/>
      <c r="X254" s="76"/>
      <c r="Y254" s="76"/>
      <c r="Z254" s="76"/>
      <c r="AA254" s="76"/>
      <c r="AB254" s="76"/>
      <c r="AC254" s="76"/>
      <c r="AD254" s="77"/>
      <c r="AE254" s="77"/>
      <c r="AF254" s="47"/>
    </row>
    <row r="255" spans="1:32" x14ac:dyDescent="0.2">
      <c r="A255" s="76"/>
      <c r="B255" s="76"/>
      <c r="C255" s="76"/>
      <c r="D255" s="76"/>
      <c r="E255" s="76"/>
      <c r="F255" s="77"/>
      <c r="G255" s="77"/>
      <c r="H255" s="76"/>
      <c r="I255" s="76"/>
      <c r="J255" s="76"/>
      <c r="K255" s="76"/>
      <c r="L255" s="76"/>
      <c r="M255" s="76"/>
      <c r="N255" s="76"/>
      <c r="O255" s="76"/>
      <c r="P255" s="76"/>
      <c r="Q255" s="76"/>
      <c r="R255" s="76"/>
      <c r="S255" s="76"/>
      <c r="T255" s="76"/>
      <c r="U255" s="76"/>
      <c r="V255" s="76"/>
      <c r="W255" s="76"/>
      <c r="X255" s="76"/>
      <c r="Y255" s="76"/>
      <c r="Z255" s="76"/>
      <c r="AA255" s="76"/>
      <c r="AB255" s="76"/>
      <c r="AC255" s="76"/>
      <c r="AD255" s="77"/>
      <c r="AE255" s="77"/>
      <c r="AF255" s="47"/>
    </row>
    <row r="256" spans="1:32" x14ac:dyDescent="0.2">
      <c r="A256" s="76"/>
      <c r="B256" s="76"/>
      <c r="C256" s="76"/>
      <c r="D256" s="76"/>
      <c r="E256" s="76"/>
      <c r="F256" s="77"/>
      <c r="G256" s="77"/>
      <c r="H256" s="76"/>
      <c r="I256" s="76"/>
      <c r="J256" s="76"/>
      <c r="K256" s="76"/>
      <c r="L256" s="76"/>
      <c r="M256" s="76"/>
      <c r="N256" s="76"/>
      <c r="O256" s="76"/>
      <c r="P256" s="76"/>
      <c r="Q256" s="76"/>
      <c r="R256" s="76"/>
      <c r="S256" s="76"/>
      <c r="T256" s="76"/>
      <c r="U256" s="76"/>
      <c r="V256" s="76"/>
      <c r="W256" s="76"/>
      <c r="X256" s="76"/>
      <c r="Y256" s="76"/>
      <c r="Z256" s="76"/>
      <c r="AA256" s="76"/>
      <c r="AB256" s="76"/>
      <c r="AC256" s="76"/>
      <c r="AD256" s="77"/>
      <c r="AE256" s="77"/>
      <c r="AF256" s="47"/>
    </row>
    <row r="257" spans="1:32" x14ac:dyDescent="0.2">
      <c r="A257" s="76"/>
      <c r="B257" s="76"/>
      <c r="C257" s="76"/>
      <c r="D257" s="76"/>
      <c r="E257" s="76"/>
      <c r="F257" s="77"/>
      <c r="G257" s="77"/>
      <c r="H257" s="76"/>
      <c r="I257" s="76"/>
      <c r="J257" s="76"/>
      <c r="K257" s="76"/>
      <c r="L257" s="76"/>
      <c r="M257" s="76"/>
      <c r="N257" s="76"/>
      <c r="O257" s="76"/>
      <c r="P257" s="76"/>
      <c r="Q257" s="76"/>
      <c r="R257" s="76"/>
      <c r="S257" s="76"/>
      <c r="T257" s="76"/>
      <c r="U257" s="76"/>
      <c r="V257" s="76"/>
      <c r="W257" s="76"/>
      <c r="X257" s="76"/>
      <c r="Y257" s="76"/>
      <c r="Z257" s="76"/>
      <c r="AA257" s="76"/>
      <c r="AB257" s="76"/>
      <c r="AC257" s="76"/>
      <c r="AD257" s="77"/>
      <c r="AE257" s="77"/>
      <c r="AF257" s="47"/>
    </row>
    <row r="258" spans="1:32" x14ac:dyDescent="0.2">
      <c r="A258" s="76"/>
      <c r="B258" s="76"/>
      <c r="C258" s="76"/>
      <c r="D258" s="76"/>
      <c r="E258" s="76"/>
      <c r="F258" s="77"/>
      <c r="G258" s="77"/>
      <c r="H258" s="76"/>
      <c r="I258" s="76"/>
      <c r="J258" s="76"/>
      <c r="K258" s="76"/>
      <c r="L258" s="76"/>
      <c r="M258" s="76"/>
      <c r="N258" s="76"/>
      <c r="O258" s="76"/>
      <c r="P258" s="76"/>
      <c r="Q258" s="76"/>
      <c r="R258" s="76"/>
      <c r="S258" s="76"/>
      <c r="T258" s="76"/>
      <c r="U258" s="76"/>
      <c r="V258" s="76"/>
      <c r="W258" s="76"/>
      <c r="X258" s="76"/>
      <c r="Y258" s="76"/>
      <c r="Z258" s="76"/>
      <c r="AA258" s="76"/>
      <c r="AB258" s="76"/>
      <c r="AC258" s="76"/>
      <c r="AD258" s="77"/>
      <c r="AE258" s="77"/>
      <c r="AF258" s="47"/>
    </row>
    <row r="259" spans="1:32" x14ac:dyDescent="0.2">
      <c r="A259" s="76"/>
      <c r="B259" s="76"/>
      <c r="C259" s="76"/>
      <c r="D259" s="76"/>
      <c r="E259" s="76"/>
      <c r="F259" s="77"/>
      <c r="G259" s="77"/>
      <c r="H259" s="76"/>
      <c r="I259" s="76"/>
      <c r="J259" s="76"/>
      <c r="K259" s="76"/>
      <c r="L259" s="76"/>
      <c r="M259" s="76"/>
      <c r="N259" s="76"/>
      <c r="O259" s="76"/>
      <c r="P259" s="76"/>
      <c r="Q259" s="76"/>
      <c r="R259" s="76"/>
      <c r="S259" s="76"/>
      <c r="T259" s="76"/>
      <c r="U259" s="76"/>
      <c r="V259" s="76"/>
      <c r="W259" s="76"/>
      <c r="X259" s="76"/>
      <c r="Y259" s="76"/>
      <c r="Z259" s="76"/>
      <c r="AA259" s="76"/>
      <c r="AB259" s="76"/>
      <c r="AC259" s="76"/>
      <c r="AD259" s="77"/>
      <c r="AE259" s="77"/>
      <c r="AF259" s="47"/>
    </row>
    <row r="260" spans="1:32" x14ac:dyDescent="0.2">
      <c r="A260" s="76"/>
      <c r="B260" s="76"/>
      <c r="C260" s="76"/>
      <c r="D260" s="76"/>
      <c r="E260" s="76"/>
      <c r="F260" s="77"/>
      <c r="G260" s="77"/>
      <c r="H260" s="76"/>
      <c r="I260" s="76"/>
      <c r="J260" s="76"/>
      <c r="K260" s="76"/>
      <c r="L260" s="76"/>
      <c r="M260" s="76"/>
      <c r="N260" s="76"/>
      <c r="O260" s="76"/>
      <c r="P260" s="76"/>
      <c r="Q260" s="76"/>
      <c r="R260" s="76"/>
      <c r="S260" s="76"/>
      <c r="T260" s="76"/>
      <c r="U260" s="76"/>
      <c r="V260" s="76"/>
      <c r="W260" s="76"/>
      <c r="X260" s="76"/>
      <c r="Y260" s="76"/>
      <c r="Z260" s="76"/>
      <c r="AA260" s="76"/>
      <c r="AB260" s="76"/>
      <c r="AC260" s="76"/>
      <c r="AD260" s="77"/>
      <c r="AE260" s="77"/>
      <c r="AF260" s="47"/>
    </row>
    <row r="261" spans="1:32" x14ac:dyDescent="0.2">
      <c r="A261" s="76"/>
      <c r="B261" s="76"/>
      <c r="C261" s="76"/>
      <c r="D261" s="76"/>
      <c r="E261" s="76"/>
      <c r="F261" s="77"/>
      <c r="G261" s="77"/>
      <c r="H261" s="76"/>
      <c r="I261" s="76"/>
      <c r="J261" s="76"/>
      <c r="K261" s="76"/>
      <c r="L261" s="76"/>
      <c r="M261" s="76"/>
      <c r="N261" s="76"/>
      <c r="O261" s="76"/>
      <c r="P261" s="76"/>
      <c r="Q261" s="76"/>
      <c r="R261" s="76"/>
      <c r="S261" s="76"/>
      <c r="T261" s="76"/>
      <c r="U261" s="76"/>
      <c r="V261" s="76"/>
      <c r="W261" s="76"/>
      <c r="X261" s="76"/>
      <c r="Y261" s="76"/>
      <c r="Z261" s="76"/>
      <c r="AA261" s="76"/>
      <c r="AB261" s="76"/>
      <c r="AC261" s="76"/>
      <c r="AD261" s="77"/>
      <c r="AE261" s="77"/>
      <c r="AF261" s="47"/>
    </row>
    <row r="262" spans="1:32" x14ac:dyDescent="0.2">
      <c r="A262" s="76"/>
      <c r="B262" s="76"/>
      <c r="C262" s="76"/>
      <c r="D262" s="76"/>
      <c r="E262" s="76"/>
      <c r="F262" s="77"/>
      <c r="G262" s="77"/>
      <c r="H262" s="76"/>
      <c r="I262" s="76"/>
      <c r="J262" s="76"/>
      <c r="K262" s="76"/>
      <c r="L262" s="76"/>
      <c r="M262" s="76"/>
      <c r="N262" s="76"/>
      <c r="O262" s="76"/>
      <c r="P262" s="76"/>
      <c r="Q262" s="76"/>
      <c r="R262" s="76"/>
      <c r="S262" s="76"/>
      <c r="T262" s="76"/>
      <c r="U262" s="76"/>
      <c r="V262" s="76"/>
      <c r="W262" s="76"/>
      <c r="X262" s="76"/>
      <c r="Y262" s="76"/>
      <c r="Z262" s="76"/>
      <c r="AA262" s="76"/>
      <c r="AB262" s="76"/>
      <c r="AC262" s="76"/>
      <c r="AD262" s="77"/>
      <c r="AE262" s="77"/>
      <c r="AF262" s="47"/>
    </row>
    <row r="263" spans="1:32" x14ac:dyDescent="0.2">
      <c r="A263" s="76"/>
      <c r="B263" s="76"/>
      <c r="C263" s="76"/>
      <c r="D263" s="76"/>
      <c r="E263" s="76"/>
      <c r="F263" s="77"/>
      <c r="G263" s="77"/>
      <c r="H263" s="76"/>
      <c r="I263" s="76"/>
      <c r="J263" s="76"/>
      <c r="K263" s="76"/>
      <c r="L263" s="76"/>
      <c r="M263" s="76"/>
      <c r="N263" s="76"/>
      <c r="O263" s="76"/>
      <c r="P263" s="76"/>
      <c r="Q263" s="76"/>
      <c r="R263" s="76"/>
      <c r="S263" s="76"/>
      <c r="T263" s="76"/>
      <c r="U263" s="76"/>
      <c r="V263" s="76"/>
      <c r="W263" s="76"/>
      <c r="X263" s="76"/>
      <c r="Y263" s="76"/>
      <c r="Z263" s="76"/>
      <c r="AA263" s="76"/>
      <c r="AB263" s="76"/>
      <c r="AC263" s="76"/>
      <c r="AD263" s="77"/>
      <c r="AE263" s="77"/>
      <c r="AF263" s="47"/>
    </row>
    <row r="264" spans="1:32" x14ac:dyDescent="0.2">
      <c r="A264" s="76"/>
      <c r="B264" s="76"/>
      <c r="C264" s="76"/>
      <c r="D264" s="76"/>
      <c r="E264" s="76"/>
      <c r="F264" s="77"/>
      <c r="G264" s="77"/>
      <c r="H264" s="76"/>
      <c r="I264" s="76"/>
      <c r="J264" s="76"/>
      <c r="K264" s="76"/>
      <c r="L264" s="76"/>
      <c r="M264" s="76"/>
      <c r="N264" s="76"/>
      <c r="O264" s="76"/>
      <c r="P264" s="76"/>
      <c r="Q264" s="76"/>
      <c r="R264" s="76"/>
      <c r="S264" s="76"/>
      <c r="T264" s="76"/>
      <c r="U264" s="76"/>
      <c r="V264" s="76"/>
      <c r="W264" s="76"/>
      <c r="X264" s="76"/>
      <c r="Y264" s="76"/>
      <c r="Z264" s="76"/>
      <c r="AA264" s="76"/>
      <c r="AB264" s="76"/>
      <c r="AC264" s="76"/>
      <c r="AD264" s="77"/>
      <c r="AE264" s="77"/>
      <c r="AF264" s="47"/>
    </row>
    <row r="265" spans="1:32" x14ac:dyDescent="0.2">
      <c r="A265" s="76"/>
      <c r="B265" s="76"/>
      <c r="C265" s="76"/>
      <c r="D265" s="76"/>
      <c r="E265" s="76"/>
      <c r="F265" s="77"/>
      <c r="G265" s="77"/>
      <c r="H265" s="76"/>
      <c r="I265" s="76"/>
      <c r="J265" s="76"/>
      <c r="K265" s="76"/>
      <c r="L265" s="76"/>
      <c r="M265" s="76"/>
      <c r="N265" s="76"/>
      <c r="O265" s="76"/>
      <c r="P265" s="76"/>
      <c r="Q265" s="76"/>
      <c r="R265" s="76"/>
      <c r="S265" s="76"/>
      <c r="T265" s="76"/>
      <c r="U265" s="76"/>
      <c r="V265" s="76"/>
      <c r="W265" s="76"/>
      <c r="X265" s="76"/>
      <c r="Y265" s="76"/>
      <c r="Z265" s="76"/>
      <c r="AA265" s="76"/>
      <c r="AB265" s="76"/>
      <c r="AC265" s="76"/>
      <c r="AD265" s="77"/>
      <c r="AE265" s="77"/>
      <c r="AF265" s="47"/>
    </row>
    <row r="266" spans="1:32" x14ac:dyDescent="0.2">
      <c r="A266" s="76"/>
      <c r="B266" s="76"/>
      <c r="C266" s="76"/>
      <c r="D266" s="76"/>
      <c r="E266" s="76"/>
      <c r="F266" s="77"/>
      <c r="G266" s="77"/>
      <c r="H266" s="76"/>
      <c r="I266" s="76"/>
      <c r="J266" s="76"/>
      <c r="K266" s="76"/>
      <c r="L266" s="76"/>
      <c r="M266" s="76"/>
      <c r="N266" s="76"/>
      <c r="O266" s="76"/>
      <c r="P266" s="76"/>
      <c r="Q266" s="76"/>
      <c r="R266" s="76"/>
      <c r="S266" s="76"/>
      <c r="T266" s="76"/>
      <c r="U266" s="76"/>
      <c r="V266" s="76"/>
      <c r="W266" s="76"/>
      <c r="X266" s="76"/>
      <c r="Y266" s="76"/>
      <c r="Z266" s="76"/>
      <c r="AA266" s="76"/>
      <c r="AB266" s="76"/>
      <c r="AC266" s="76"/>
      <c r="AD266" s="77"/>
      <c r="AE266" s="77"/>
      <c r="AF266" s="47"/>
    </row>
    <row r="267" spans="1:32" x14ac:dyDescent="0.2">
      <c r="A267" s="76"/>
      <c r="B267" s="76"/>
      <c r="C267" s="76"/>
      <c r="D267" s="76"/>
      <c r="E267" s="76"/>
      <c r="F267" s="77"/>
      <c r="G267" s="77"/>
      <c r="H267" s="76"/>
      <c r="I267" s="76"/>
      <c r="J267" s="76"/>
      <c r="K267" s="76"/>
      <c r="L267" s="76"/>
      <c r="M267" s="76"/>
      <c r="N267" s="76"/>
      <c r="O267" s="76"/>
      <c r="P267" s="76"/>
      <c r="Q267" s="76"/>
      <c r="R267" s="76"/>
      <c r="S267" s="76"/>
      <c r="T267" s="76"/>
      <c r="U267" s="76"/>
      <c r="V267" s="76"/>
      <c r="W267" s="76"/>
      <c r="X267" s="76"/>
      <c r="Y267" s="76"/>
      <c r="Z267" s="76"/>
      <c r="AA267" s="76"/>
      <c r="AB267" s="76"/>
      <c r="AC267" s="76"/>
      <c r="AD267" s="77"/>
      <c r="AE267" s="77"/>
      <c r="AF267" s="47"/>
    </row>
    <row r="268" spans="1:32" x14ac:dyDescent="0.2">
      <c r="A268" s="76"/>
      <c r="B268" s="76"/>
      <c r="C268" s="76"/>
      <c r="D268" s="76"/>
      <c r="E268" s="76"/>
      <c r="F268" s="77"/>
      <c r="G268" s="77"/>
      <c r="H268" s="76"/>
      <c r="I268" s="76"/>
      <c r="J268" s="76"/>
      <c r="K268" s="76"/>
      <c r="L268" s="76"/>
      <c r="M268" s="76"/>
      <c r="N268" s="76"/>
      <c r="O268" s="76"/>
      <c r="P268" s="76"/>
      <c r="Q268" s="76"/>
      <c r="R268" s="76"/>
      <c r="S268" s="76"/>
      <c r="T268" s="76"/>
      <c r="U268" s="76"/>
      <c r="V268" s="76"/>
      <c r="W268" s="76"/>
      <c r="X268" s="76"/>
      <c r="Y268" s="76"/>
      <c r="Z268" s="76"/>
      <c r="AA268" s="76"/>
      <c r="AB268" s="76"/>
      <c r="AC268" s="76"/>
      <c r="AD268" s="77"/>
      <c r="AE268" s="77"/>
      <c r="AF268" s="47"/>
    </row>
    <row r="269" spans="1:32" x14ac:dyDescent="0.2">
      <c r="A269" s="76"/>
      <c r="B269" s="76"/>
      <c r="C269" s="76"/>
      <c r="D269" s="76"/>
      <c r="E269" s="76"/>
      <c r="F269" s="77"/>
      <c r="G269" s="77"/>
      <c r="H269" s="76"/>
      <c r="I269" s="76"/>
      <c r="J269" s="76"/>
      <c r="K269" s="76"/>
      <c r="L269" s="76"/>
      <c r="M269" s="76"/>
      <c r="N269" s="76"/>
      <c r="O269" s="76"/>
      <c r="P269" s="76"/>
      <c r="Q269" s="76"/>
      <c r="R269" s="76"/>
      <c r="S269" s="76"/>
      <c r="T269" s="76"/>
      <c r="U269" s="76"/>
      <c r="V269" s="76"/>
      <c r="W269" s="76"/>
      <c r="X269" s="76"/>
      <c r="Y269" s="76"/>
      <c r="Z269" s="76"/>
      <c r="AA269" s="76"/>
      <c r="AB269" s="76"/>
      <c r="AC269" s="76"/>
      <c r="AD269" s="77"/>
      <c r="AE269" s="77"/>
      <c r="AF269" s="47"/>
    </row>
    <row r="270" spans="1:32" x14ac:dyDescent="0.2">
      <c r="A270" s="76"/>
      <c r="B270" s="76"/>
      <c r="C270" s="76"/>
      <c r="D270" s="76"/>
      <c r="E270" s="76"/>
      <c r="F270" s="77"/>
      <c r="G270" s="77"/>
      <c r="H270" s="76"/>
      <c r="I270" s="76"/>
      <c r="J270" s="76"/>
      <c r="K270" s="76"/>
      <c r="L270" s="76"/>
      <c r="M270" s="76"/>
      <c r="N270" s="76"/>
      <c r="O270" s="76"/>
      <c r="P270" s="76"/>
      <c r="Q270" s="76"/>
      <c r="R270" s="76"/>
      <c r="S270" s="76"/>
      <c r="T270" s="76"/>
      <c r="U270" s="76"/>
      <c r="V270" s="76"/>
      <c r="W270" s="76"/>
      <c r="X270" s="76"/>
      <c r="Y270" s="76"/>
      <c r="Z270" s="76"/>
      <c r="AA270" s="76"/>
      <c r="AB270" s="76"/>
      <c r="AC270" s="76"/>
      <c r="AD270" s="77"/>
      <c r="AE270" s="77"/>
      <c r="AF270" s="47"/>
    </row>
    <row r="271" spans="1:32" x14ac:dyDescent="0.2">
      <c r="A271" s="76"/>
      <c r="B271" s="76"/>
      <c r="C271" s="76"/>
      <c r="D271" s="76"/>
      <c r="E271" s="76"/>
      <c r="F271" s="77"/>
      <c r="G271" s="77"/>
      <c r="H271" s="76"/>
      <c r="I271" s="76"/>
      <c r="J271" s="76"/>
      <c r="K271" s="76"/>
      <c r="L271" s="76"/>
      <c r="M271" s="76"/>
      <c r="N271" s="76"/>
      <c r="O271" s="76"/>
      <c r="P271" s="76"/>
      <c r="Q271" s="76"/>
      <c r="R271" s="76"/>
      <c r="S271" s="76"/>
      <c r="T271" s="76"/>
      <c r="U271" s="76"/>
      <c r="V271" s="76"/>
      <c r="W271" s="76"/>
      <c r="X271" s="76"/>
      <c r="Y271" s="76"/>
      <c r="Z271" s="76"/>
      <c r="AA271" s="76"/>
      <c r="AB271" s="76"/>
      <c r="AC271" s="76"/>
      <c r="AD271" s="77"/>
      <c r="AE271" s="77"/>
      <c r="AF271" s="47"/>
    </row>
    <row r="272" spans="1:32" x14ac:dyDescent="0.2">
      <c r="A272" s="76"/>
      <c r="B272" s="76"/>
      <c r="C272" s="76"/>
      <c r="D272" s="76"/>
      <c r="E272" s="76"/>
      <c r="F272" s="77"/>
      <c r="G272" s="77"/>
      <c r="H272" s="76"/>
      <c r="I272" s="76"/>
      <c r="J272" s="76"/>
      <c r="K272" s="76"/>
      <c r="L272" s="76"/>
      <c r="M272" s="76"/>
      <c r="N272" s="76"/>
      <c r="O272" s="76"/>
      <c r="P272" s="76"/>
      <c r="Q272" s="76"/>
      <c r="R272" s="76"/>
      <c r="S272" s="76"/>
      <c r="T272" s="76"/>
      <c r="U272" s="76"/>
      <c r="V272" s="76"/>
      <c r="W272" s="76"/>
      <c r="X272" s="76"/>
      <c r="Y272" s="76"/>
      <c r="Z272" s="76"/>
      <c r="AA272" s="76"/>
      <c r="AB272" s="76"/>
      <c r="AC272" s="76"/>
      <c r="AD272" s="77"/>
      <c r="AE272" s="77"/>
      <c r="AF272" s="47"/>
    </row>
    <row r="273" spans="1:31" x14ac:dyDescent="0.2">
      <c r="A273" s="76"/>
      <c r="B273" s="76"/>
      <c r="C273" s="76"/>
      <c r="D273" s="76"/>
      <c r="E273" s="76"/>
      <c r="F273" s="77"/>
      <c r="G273" s="77"/>
      <c r="H273" s="76"/>
      <c r="I273" s="76"/>
      <c r="J273" s="76"/>
      <c r="K273" s="76"/>
      <c r="L273" s="76"/>
      <c r="M273" s="76"/>
      <c r="N273" s="76"/>
      <c r="O273" s="76"/>
      <c r="P273" s="76"/>
      <c r="Q273" s="76"/>
      <c r="R273" s="76"/>
      <c r="S273" s="76"/>
      <c r="T273" s="76"/>
      <c r="U273" s="76"/>
      <c r="V273" s="76"/>
      <c r="W273" s="76"/>
      <c r="X273" s="76"/>
      <c r="Y273" s="76"/>
      <c r="Z273" s="76"/>
      <c r="AA273" s="76"/>
      <c r="AB273" s="76"/>
      <c r="AC273" s="76"/>
      <c r="AD273" s="77"/>
      <c r="AE273" s="77"/>
    </row>
    <row r="274" spans="1:31" x14ac:dyDescent="0.2">
      <c r="A274" s="76"/>
      <c r="B274" s="76"/>
      <c r="C274" s="76"/>
      <c r="D274" s="76"/>
      <c r="E274" s="76"/>
      <c r="F274" s="77"/>
      <c r="G274" s="77"/>
      <c r="H274" s="76"/>
      <c r="I274" s="76"/>
      <c r="J274" s="76"/>
      <c r="K274" s="76"/>
      <c r="L274" s="76"/>
      <c r="M274" s="76"/>
      <c r="N274" s="76"/>
      <c r="O274" s="76"/>
      <c r="P274" s="76"/>
      <c r="Q274" s="76"/>
      <c r="R274" s="76"/>
      <c r="S274" s="76"/>
      <c r="T274" s="76"/>
      <c r="U274" s="76"/>
      <c r="V274" s="76"/>
      <c r="W274" s="76"/>
      <c r="X274" s="76"/>
      <c r="Y274" s="76"/>
      <c r="Z274" s="76"/>
      <c r="AA274" s="76"/>
      <c r="AB274" s="76"/>
      <c r="AC274" s="76"/>
      <c r="AD274" s="77"/>
      <c r="AE274" s="77"/>
    </row>
    <row r="275" spans="1:31" x14ac:dyDescent="0.2">
      <c r="A275" s="76"/>
      <c r="B275" s="76"/>
      <c r="C275" s="76"/>
      <c r="D275" s="76"/>
      <c r="E275" s="76"/>
      <c r="F275" s="77"/>
      <c r="G275" s="77"/>
      <c r="H275" s="76"/>
      <c r="I275" s="76"/>
      <c r="J275" s="76"/>
      <c r="K275" s="76"/>
      <c r="L275" s="76"/>
      <c r="M275" s="76"/>
      <c r="N275" s="76"/>
      <c r="O275" s="76"/>
      <c r="P275" s="76"/>
      <c r="Q275" s="76"/>
      <c r="R275" s="76"/>
      <c r="S275" s="76"/>
      <c r="T275" s="76"/>
      <c r="U275" s="76"/>
      <c r="V275" s="76"/>
      <c r="W275" s="76"/>
      <c r="X275" s="76"/>
      <c r="Y275" s="76"/>
      <c r="Z275" s="76"/>
      <c r="AA275" s="76"/>
      <c r="AB275" s="76"/>
      <c r="AC275" s="76"/>
      <c r="AD275" s="77"/>
      <c r="AE275" s="77"/>
    </row>
    <row r="276" spans="1:31" x14ac:dyDescent="0.2">
      <c r="A276" s="76"/>
      <c r="B276" s="76"/>
      <c r="C276" s="76"/>
      <c r="D276" s="76"/>
      <c r="E276" s="76"/>
      <c r="F276" s="77"/>
      <c r="G276" s="77"/>
      <c r="H276" s="76"/>
      <c r="I276" s="76"/>
      <c r="J276" s="76"/>
      <c r="K276" s="76"/>
      <c r="L276" s="76"/>
      <c r="M276" s="76"/>
      <c r="N276" s="76"/>
      <c r="O276" s="76"/>
      <c r="P276" s="76"/>
      <c r="Q276" s="76"/>
      <c r="R276" s="76"/>
      <c r="S276" s="76"/>
      <c r="T276" s="76"/>
      <c r="U276" s="76"/>
      <c r="V276" s="76"/>
      <c r="W276" s="76"/>
      <c r="X276" s="76"/>
      <c r="Y276" s="76"/>
      <c r="Z276" s="76"/>
      <c r="AA276" s="76"/>
      <c r="AB276" s="76"/>
      <c r="AC276" s="76"/>
      <c r="AD276" s="77"/>
      <c r="AE276" s="77"/>
    </row>
    <row r="277" spans="1:31" x14ac:dyDescent="0.2">
      <c r="A277" s="76"/>
      <c r="B277" s="76"/>
      <c r="C277" s="76"/>
      <c r="D277" s="76"/>
      <c r="E277" s="76"/>
      <c r="F277" s="77"/>
      <c r="G277" s="77"/>
      <c r="H277" s="76"/>
      <c r="I277" s="76"/>
      <c r="J277" s="76"/>
      <c r="K277" s="76"/>
      <c r="L277" s="76"/>
      <c r="M277" s="76"/>
      <c r="N277" s="76"/>
      <c r="O277" s="76"/>
      <c r="P277" s="76"/>
      <c r="Q277" s="76"/>
      <c r="R277" s="76"/>
      <c r="S277" s="76"/>
      <c r="T277" s="76"/>
      <c r="U277" s="76"/>
      <c r="V277" s="76"/>
      <c r="W277" s="76"/>
      <c r="X277" s="76"/>
      <c r="Y277" s="76"/>
      <c r="Z277" s="76"/>
      <c r="AA277" s="76"/>
      <c r="AB277" s="76"/>
      <c r="AC277" s="76"/>
      <c r="AD277" s="77"/>
      <c r="AE277" s="77"/>
    </row>
    <row r="278" spans="1:31" x14ac:dyDescent="0.2">
      <c r="A278" s="76"/>
      <c r="B278" s="76"/>
      <c r="C278" s="76"/>
      <c r="D278" s="76"/>
      <c r="E278" s="76"/>
      <c r="F278" s="77"/>
      <c r="G278" s="77"/>
      <c r="H278" s="76"/>
      <c r="I278" s="76"/>
      <c r="J278" s="76"/>
      <c r="K278" s="76"/>
      <c r="L278" s="76"/>
      <c r="M278" s="76"/>
      <c r="N278" s="76"/>
      <c r="O278" s="76"/>
      <c r="P278" s="76"/>
      <c r="Q278" s="76"/>
      <c r="R278" s="76"/>
      <c r="S278" s="76"/>
      <c r="T278" s="76"/>
      <c r="U278" s="76"/>
      <c r="V278" s="76"/>
      <c r="W278" s="76"/>
      <c r="X278" s="76"/>
      <c r="Y278" s="76"/>
      <c r="Z278" s="76"/>
      <c r="AA278" s="76"/>
      <c r="AB278" s="76"/>
      <c r="AC278" s="76"/>
      <c r="AD278" s="77"/>
      <c r="AE278" s="77"/>
    </row>
    <row r="279" spans="1:31" x14ac:dyDescent="0.2">
      <c r="A279" s="76"/>
      <c r="B279" s="76"/>
      <c r="C279" s="76"/>
      <c r="D279" s="76"/>
      <c r="E279" s="76"/>
      <c r="F279" s="77"/>
      <c r="G279" s="77"/>
      <c r="H279" s="76"/>
      <c r="I279" s="76"/>
      <c r="J279" s="76"/>
      <c r="K279" s="76"/>
      <c r="L279" s="76"/>
      <c r="M279" s="76"/>
      <c r="N279" s="76"/>
      <c r="O279" s="76"/>
      <c r="P279" s="76"/>
      <c r="Q279" s="76"/>
      <c r="R279" s="76"/>
      <c r="S279" s="76"/>
      <c r="T279" s="76"/>
      <c r="U279" s="76"/>
      <c r="V279" s="76"/>
      <c r="W279" s="76"/>
      <c r="X279" s="76"/>
      <c r="Y279" s="76"/>
      <c r="Z279" s="76"/>
      <c r="AA279" s="76"/>
      <c r="AB279" s="76"/>
      <c r="AC279" s="76"/>
      <c r="AD279" s="77"/>
      <c r="AE279" s="77"/>
    </row>
    <row r="280" spans="1:31" x14ac:dyDescent="0.2">
      <c r="A280" s="76"/>
      <c r="B280" s="76"/>
      <c r="C280" s="76"/>
      <c r="D280" s="76"/>
      <c r="E280" s="76"/>
      <c r="F280" s="77"/>
      <c r="G280" s="77"/>
      <c r="H280" s="76"/>
      <c r="I280" s="76"/>
      <c r="J280" s="76"/>
      <c r="K280" s="76"/>
      <c r="L280" s="76"/>
      <c r="M280" s="76"/>
      <c r="N280" s="76"/>
      <c r="O280" s="76"/>
      <c r="P280" s="76"/>
      <c r="Q280" s="76"/>
      <c r="R280" s="76"/>
      <c r="S280" s="76"/>
      <c r="T280" s="76"/>
      <c r="U280" s="76"/>
      <c r="V280" s="76"/>
      <c r="W280" s="76"/>
      <c r="X280" s="76"/>
      <c r="Y280" s="76"/>
      <c r="Z280" s="76"/>
      <c r="AA280" s="76"/>
      <c r="AB280" s="76"/>
      <c r="AC280" s="76"/>
      <c r="AD280" s="77"/>
      <c r="AE280" s="77"/>
    </row>
    <row r="281" spans="1:31" x14ac:dyDescent="0.2">
      <c r="A281" s="76"/>
      <c r="B281" s="76"/>
      <c r="C281" s="76"/>
      <c r="D281" s="76"/>
      <c r="E281" s="76"/>
      <c r="F281" s="77"/>
      <c r="G281" s="77"/>
      <c r="H281" s="76"/>
      <c r="I281" s="76"/>
      <c r="J281" s="76"/>
      <c r="K281" s="76"/>
      <c r="L281" s="76"/>
      <c r="M281" s="76"/>
      <c r="N281" s="76"/>
      <c r="O281" s="76"/>
      <c r="P281" s="76"/>
      <c r="Q281" s="76"/>
      <c r="R281" s="76"/>
      <c r="S281" s="76"/>
      <c r="T281" s="76"/>
      <c r="U281" s="76"/>
      <c r="V281" s="76"/>
      <c r="W281" s="76"/>
      <c r="X281" s="76"/>
      <c r="Y281" s="76"/>
      <c r="Z281" s="76"/>
      <c r="AA281" s="76"/>
      <c r="AB281" s="76"/>
      <c r="AC281" s="76"/>
      <c r="AD281" s="77"/>
      <c r="AE281" s="77"/>
    </row>
    <row r="282" spans="1:31" x14ac:dyDescent="0.2">
      <c r="A282" s="76"/>
      <c r="B282" s="76"/>
      <c r="C282" s="76"/>
      <c r="D282" s="76"/>
      <c r="E282" s="76"/>
      <c r="F282" s="77"/>
      <c r="G282" s="77"/>
      <c r="H282" s="76"/>
      <c r="I282" s="76"/>
      <c r="J282" s="76"/>
      <c r="K282" s="76"/>
      <c r="L282" s="76"/>
      <c r="M282" s="76"/>
      <c r="N282" s="76"/>
      <c r="O282" s="76"/>
      <c r="P282" s="76"/>
      <c r="Q282" s="76"/>
      <c r="R282" s="76"/>
      <c r="S282" s="76"/>
      <c r="T282" s="76"/>
      <c r="U282" s="76"/>
      <c r="V282" s="76"/>
      <c r="W282" s="76"/>
      <c r="X282" s="76"/>
      <c r="Y282" s="76"/>
      <c r="Z282" s="76"/>
      <c r="AA282" s="76"/>
      <c r="AB282" s="76"/>
      <c r="AC282" s="76"/>
      <c r="AD282" s="77"/>
      <c r="AE282" s="77"/>
    </row>
    <row r="283" spans="1:31" x14ac:dyDescent="0.2">
      <c r="A283" s="76"/>
      <c r="B283" s="76"/>
      <c r="C283" s="76"/>
      <c r="D283" s="76"/>
      <c r="E283" s="76"/>
      <c r="F283" s="77"/>
      <c r="G283" s="77"/>
      <c r="H283" s="76"/>
      <c r="I283" s="76"/>
      <c r="J283" s="76"/>
      <c r="K283" s="76"/>
      <c r="L283" s="76"/>
      <c r="M283" s="76"/>
      <c r="N283" s="76"/>
      <c r="O283" s="76"/>
      <c r="P283" s="76"/>
      <c r="Q283" s="76"/>
      <c r="R283" s="76"/>
      <c r="S283" s="76"/>
      <c r="T283" s="76"/>
      <c r="U283" s="76"/>
      <c r="V283" s="76"/>
      <c r="W283" s="76"/>
      <c r="X283" s="76"/>
      <c r="Y283" s="76"/>
      <c r="Z283" s="76"/>
      <c r="AA283" s="76"/>
      <c r="AB283" s="76"/>
      <c r="AC283" s="76"/>
      <c r="AD283" s="77"/>
      <c r="AE283" s="77"/>
    </row>
    <row r="284" spans="1:31" x14ac:dyDescent="0.2">
      <c r="A284" s="76"/>
      <c r="B284" s="76"/>
      <c r="C284" s="76"/>
      <c r="D284" s="76"/>
      <c r="E284" s="76"/>
      <c r="F284" s="77"/>
      <c r="G284" s="77"/>
      <c r="H284" s="76"/>
      <c r="I284" s="76"/>
      <c r="J284" s="76"/>
      <c r="K284" s="76"/>
      <c r="L284" s="76"/>
      <c r="M284" s="76"/>
      <c r="N284" s="76"/>
      <c r="O284" s="76"/>
      <c r="P284" s="76"/>
      <c r="Q284" s="76"/>
      <c r="R284" s="76"/>
      <c r="S284" s="76"/>
      <c r="T284" s="76"/>
      <c r="U284" s="76"/>
      <c r="V284" s="76"/>
      <c r="W284" s="76"/>
      <c r="X284" s="76"/>
      <c r="Y284" s="76"/>
      <c r="Z284" s="76"/>
      <c r="AA284" s="76"/>
      <c r="AB284" s="76"/>
      <c r="AC284" s="76"/>
      <c r="AD284" s="77"/>
      <c r="AE284" s="77"/>
    </row>
    <row r="285" spans="1:31" x14ac:dyDescent="0.2">
      <c r="A285" s="76"/>
      <c r="B285" s="76"/>
      <c r="C285" s="76"/>
      <c r="D285" s="76"/>
      <c r="E285" s="76"/>
      <c r="F285" s="77"/>
      <c r="G285" s="77"/>
      <c r="H285" s="76"/>
      <c r="I285" s="76"/>
      <c r="J285" s="76"/>
      <c r="K285" s="76"/>
      <c r="L285" s="76"/>
      <c r="M285" s="76"/>
      <c r="N285" s="76"/>
      <c r="O285" s="76"/>
      <c r="P285" s="76"/>
      <c r="Q285" s="76"/>
      <c r="R285" s="76"/>
      <c r="S285" s="76"/>
      <c r="T285" s="76"/>
      <c r="U285" s="76"/>
      <c r="V285" s="76"/>
      <c r="W285" s="76"/>
      <c r="X285" s="76"/>
      <c r="Y285" s="76"/>
      <c r="Z285" s="76"/>
      <c r="AA285" s="76"/>
      <c r="AB285" s="76"/>
      <c r="AC285" s="76"/>
      <c r="AD285" s="77"/>
      <c r="AE285" s="77"/>
    </row>
    <row r="286" spans="1:31" x14ac:dyDescent="0.2">
      <c r="A286" s="76"/>
      <c r="B286" s="76"/>
      <c r="C286" s="76"/>
      <c r="D286" s="76"/>
      <c r="E286" s="76"/>
      <c r="F286" s="77"/>
      <c r="G286" s="77"/>
      <c r="H286" s="76"/>
      <c r="I286" s="76"/>
      <c r="J286" s="76"/>
      <c r="K286" s="76"/>
      <c r="L286" s="76"/>
      <c r="M286" s="76"/>
      <c r="N286" s="76"/>
      <c r="O286" s="76"/>
      <c r="P286" s="76"/>
      <c r="Q286" s="76"/>
      <c r="R286" s="76"/>
      <c r="S286" s="76"/>
      <c r="T286" s="76"/>
      <c r="U286" s="76"/>
      <c r="V286" s="76"/>
      <c r="W286" s="76"/>
      <c r="X286" s="76"/>
      <c r="Y286" s="76"/>
      <c r="Z286" s="76"/>
      <c r="AA286" s="76"/>
      <c r="AB286" s="76"/>
      <c r="AC286" s="76"/>
      <c r="AD286" s="77"/>
      <c r="AE286" s="77"/>
    </row>
    <row r="287" spans="1:31" x14ac:dyDescent="0.2">
      <c r="A287" s="76"/>
      <c r="B287" s="76"/>
      <c r="C287" s="76"/>
      <c r="D287" s="76"/>
      <c r="E287" s="76"/>
      <c r="F287" s="77"/>
      <c r="G287" s="77"/>
      <c r="H287" s="76"/>
      <c r="I287" s="76"/>
      <c r="J287" s="76"/>
      <c r="K287" s="76"/>
      <c r="L287" s="76"/>
      <c r="M287" s="76"/>
      <c r="N287" s="76"/>
      <c r="O287" s="76"/>
      <c r="P287" s="76"/>
      <c r="Q287" s="76"/>
      <c r="R287" s="76"/>
      <c r="S287" s="76"/>
      <c r="T287" s="76"/>
      <c r="U287" s="76"/>
      <c r="V287" s="76"/>
      <c r="W287" s="76"/>
      <c r="X287" s="76"/>
      <c r="Y287" s="76"/>
      <c r="Z287" s="76"/>
      <c r="AA287" s="76"/>
      <c r="AB287" s="76"/>
      <c r="AC287" s="76"/>
      <c r="AD287" s="77"/>
      <c r="AE287" s="77"/>
    </row>
    <row r="288" spans="1:31" x14ac:dyDescent="0.2">
      <c r="A288" s="76"/>
      <c r="B288" s="76"/>
      <c r="C288" s="76"/>
      <c r="D288" s="76"/>
      <c r="E288" s="76"/>
      <c r="F288" s="77"/>
      <c r="G288" s="77"/>
      <c r="H288" s="76"/>
      <c r="I288" s="76"/>
      <c r="J288" s="76"/>
      <c r="K288" s="76"/>
      <c r="L288" s="76"/>
      <c r="M288" s="76"/>
      <c r="N288" s="76"/>
      <c r="O288" s="76"/>
      <c r="P288" s="76"/>
      <c r="Q288" s="76"/>
      <c r="R288" s="76"/>
      <c r="S288" s="76"/>
      <c r="T288" s="76"/>
      <c r="U288" s="76"/>
      <c r="V288" s="76"/>
      <c r="W288" s="76"/>
      <c r="X288" s="76"/>
      <c r="Y288" s="76"/>
      <c r="Z288" s="76"/>
      <c r="AA288" s="76"/>
      <c r="AB288" s="76"/>
      <c r="AC288" s="76"/>
      <c r="AD288" s="77"/>
      <c r="AE288" s="77"/>
    </row>
    <row r="289" spans="1:31" x14ac:dyDescent="0.2">
      <c r="A289" s="76"/>
      <c r="B289" s="76"/>
      <c r="C289" s="76"/>
      <c r="D289" s="76"/>
      <c r="E289" s="76"/>
      <c r="F289" s="77"/>
      <c r="G289" s="77"/>
      <c r="H289" s="76"/>
      <c r="I289" s="76"/>
      <c r="J289" s="76"/>
      <c r="K289" s="76"/>
      <c r="L289" s="76"/>
      <c r="M289" s="76"/>
      <c r="N289" s="76"/>
      <c r="O289" s="76"/>
      <c r="P289" s="76"/>
      <c r="Q289" s="76"/>
      <c r="R289" s="76"/>
      <c r="S289" s="76"/>
      <c r="T289" s="76"/>
      <c r="U289" s="76"/>
      <c r="V289" s="76"/>
      <c r="W289" s="76"/>
      <c r="X289" s="76"/>
      <c r="Y289" s="76"/>
      <c r="Z289" s="76"/>
      <c r="AA289" s="76"/>
      <c r="AB289" s="76"/>
      <c r="AC289" s="76"/>
      <c r="AD289" s="77"/>
      <c r="AE289" s="77"/>
    </row>
    <row r="290" spans="1:31" x14ac:dyDescent="0.2">
      <c r="A290" s="76"/>
      <c r="B290" s="76"/>
      <c r="C290" s="76"/>
      <c r="D290" s="76"/>
      <c r="E290" s="76"/>
      <c r="F290" s="77"/>
      <c r="G290" s="77"/>
      <c r="H290" s="76"/>
      <c r="I290" s="76"/>
      <c r="J290" s="76"/>
      <c r="K290" s="76"/>
      <c r="L290" s="76"/>
      <c r="M290" s="76"/>
      <c r="N290" s="76"/>
      <c r="O290" s="76"/>
      <c r="P290" s="76"/>
      <c r="Q290" s="76"/>
      <c r="R290" s="76"/>
      <c r="S290" s="76"/>
      <c r="T290" s="76"/>
      <c r="U290" s="76"/>
      <c r="V290" s="76"/>
      <c r="W290" s="76"/>
      <c r="X290" s="76"/>
      <c r="Y290" s="76"/>
      <c r="Z290" s="76"/>
      <c r="AA290" s="76"/>
      <c r="AB290" s="76"/>
      <c r="AC290" s="76"/>
      <c r="AD290" s="77"/>
      <c r="AE290" s="77"/>
    </row>
    <row r="291" spans="1:31" x14ac:dyDescent="0.2">
      <c r="A291" s="76"/>
      <c r="B291" s="76"/>
      <c r="C291" s="76"/>
      <c r="D291" s="76"/>
      <c r="E291" s="76"/>
      <c r="F291" s="77"/>
      <c r="G291" s="77"/>
      <c r="H291" s="76"/>
      <c r="I291" s="76"/>
      <c r="J291" s="76"/>
      <c r="K291" s="76"/>
      <c r="L291" s="76"/>
      <c r="M291" s="76"/>
      <c r="N291" s="76"/>
      <c r="O291" s="76"/>
      <c r="P291" s="76"/>
      <c r="Q291" s="76"/>
      <c r="R291" s="76"/>
      <c r="S291" s="76"/>
      <c r="T291" s="76"/>
      <c r="U291" s="76"/>
      <c r="V291" s="76"/>
      <c r="W291" s="76"/>
      <c r="X291" s="76"/>
      <c r="Y291" s="76"/>
      <c r="Z291" s="76"/>
      <c r="AA291" s="76"/>
      <c r="AB291" s="76"/>
      <c r="AC291" s="76"/>
      <c r="AD291" s="77"/>
      <c r="AE291" s="77"/>
    </row>
    <row r="292" spans="1:31" x14ac:dyDescent="0.2">
      <c r="A292" s="76"/>
      <c r="B292" s="76"/>
      <c r="C292" s="76"/>
      <c r="D292" s="76"/>
      <c r="E292" s="76"/>
      <c r="F292" s="77"/>
      <c r="G292" s="77"/>
      <c r="H292" s="76"/>
      <c r="I292" s="76"/>
      <c r="J292" s="76"/>
      <c r="K292" s="76"/>
      <c r="L292" s="76"/>
      <c r="M292" s="76"/>
      <c r="N292" s="76"/>
      <c r="O292" s="76"/>
      <c r="P292" s="76"/>
      <c r="Q292" s="76"/>
      <c r="R292" s="76"/>
      <c r="S292" s="76"/>
      <c r="T292" s="76"/>
      <c r="U292" s="76"/>
      <c r="V292" s="76"/>
      <c r="W292" s="76"/>
      <c r="X292" s="76"/>
      <c r="Y292" s="76"/>
      <c r="Z292" s="76"/>
      <c r="AA292" s="76"/>
      <c r="AB292" s="76"/>
      <c r="AC292" s="76"/>
      <c r="AD292" s="77"/>
      <c r="AE292" s="77"/>
    </row>
    <row r="293" spans="1:31" x14ac:dyDescent="0.2">
      <c r="A293" s="76"/>
      <c r="B293" s="76"/>
      <c r="C293" s="76"/>
      <c r="D293" s="76"/>
      <c r="E293" s="76"/>
      <c r="F293" s="77"/>
      <c r="G293" s="77"/>
      <c r="H293" s="76"/>
      <c r="I293" s="76"/>
      <c r="J293" s="76"/>
      <c r="K293" s="76"/>
      <c r="L293" s="76"/>
      <c r="M293" s="76"/>
      <c r="N293" s="76"/>
      <c r="O293" s="76"/>
      <c r="P293" s="76"/>
      <c r="Q293" s="76"/>
      <c r="R293" s="76"/>
      <c r="S293" s="76"/>
      <c r="T293" s="76"/>
      <c r="U293" s="76"/>
      <c r="V293" s="76"/>
      <c r="W293" s="76"/>
      <c r="X293" s="76"/>
      <c r="Y293" s="76"/>
      <c r="Z293" s="76"/>
      <c r="AA293" s="76"/>
      <c r="AB293" s="76"/>
      <c r="AC293" s="76"/>
      <c r="AD293" s="77"/>
      <c r="AE293" s="77"/>
    </row>
    <row r="294" spans="1:31" x14ac:dyDescent="0.2">
      <c r="A294" s="76"/>
      <c r="B294" s="76"/>
      <c r="C294" s="76"/>
      <c r="D294" s="76"/>
      <c r="E294" s="76"/>
      <c r="F294" s="77"/>
      <c r="G294" s="77"/>
      <c r="H294" s="76"/>
      <c r="I294" s="76"/>
      <c r="J294" s="76"/>
      <c r="K294" s="76"/>
      <c r="L294" s="76"/>
      <c r="M294" s="76"/>
      <c r="N294" s="76"/>
      <c r="O294" s="76"/>
      <c r="P294" s="76"/>
      <c r="Q294" s="76"/>
      <c r="R294" s="76"/>
      <c r="S294" s="76"/>
      <c r="T294" s="76"/>
      <c r="U294" s="76"/>
      <c r="V294" s="76"/>
      <c r="W294" s="76"/>
      <c r="X294" s="76"/>
      <c r="Y294" s="76"/>
      <c r="Z294" s="76"/>
      <c r="AA294" s="76"/>
      <c r="AB294" s="76"/>
      <c r="AC294" s="76"/>
      <c r="AD294" s="77"/>
      <c r="AE294" s="77"/>
    </row>
    <row r="295" spans="1:31" x14ac:dyDescent="0.2">
      <c r="A295" s="76"/>
      <c r="B295" s="76"/>
      <c r="C295" s="76"/>
      <c r="D295" s="76"/>
      <c r="E295" s="76"/>
      <c r="F295" s="77"/>
      <c r="G295" s="77"/>
      <c r="H295" s="76"/>
      <c r="I295" s="76"/>
      <c r="J295" s="76"/>
      <c r="K295" s="76"/>
      <c r="L295" s="76"/>
      <c r="M295" s="76"/>
      <c r="N295" s="76"/>
      <c r="O295" s="76"/>
      <c r="P295" s="76"/>
      <c r="Q295" s="76"/>
      <c r="R295" s="76"/>
      <c r="S295" s="76"/>
      <c r="T295" s="76"/>
      <c r="U295" s="76"/>
      <c r="V295" s="76"/>
      <c r="W295" s="76"/>
      <c r="X295" s="76"/>
      <c r="Y295" s="76"/>
      <c r="Z295" s="76"/>
      <c r="AA295" s="76"/>
      <c r="AB295" s="76"/>
      <c r="AC295" s="76"/>
      <c r="AD295" s="77"/>
      <c r="AE295" s="77"/>
    </row>
    <row r="296" spans="1:31" x14ac:dyDescent="0.2">
      <c r="A296" s="76"/>
      <c r="B296" s="76"/>
      <c r="C296" s="76"/>
      <c r="D296" s="76"/>
      <c r="E296" s="76"/>
      <c r="F296" s="77"/>
      <c r="G296" s="77"/>
      <c r="H296" s="76"/>
      <c r="I296" s="76"/>
      <c r="J296" s="76"/>
      <c r="K296" s="76"/>
      <c r="L296" s="76"/>
      <c r="M296" s="76"/>
      <c r="N296" s="76"/>
      <c r="O296" s="76"/>
      <c r="P296" s="76"/>
      <c r="Q296" s="76"/>
      <c r="R296" s="76"/>
      <c r="S296" s="76"/>
      <c r="T296" s="76"/>
      <c r="U296" s="76"/>
      <c r="V296" s="76"/>
      <c r="W296" s="76"/>
      <c r="X296" s="76"/>
      <c r="Y296" s="76"/>
      <c r="Z296" s="76"/>
      <c r="AA296" s="76"/>
      <c r="AB296" s="76"/>
      <c r="AC296" s="76"/>
      <c r="AD296" s="77"/>
      <c r="AE296" s="77"/>
    </row>
    <row r="297" spans="1:31" x14ac:dyDescent="0.2">
      <c r="A297" s="76"/>
      <c r="B297" s="76"/>
      <c r="C297" s="76"/>
      <c r="D297" s="76"/>
      <c r="E297" s="76"/>
      <c r="F297" s="77"/>
      <c r="G297" s="77"/>
      <c r="H297" s="76"/>
      <c r="I297" s="76"/>
      <c r="J297" s="76"/>
      <c r="K297" s="76"/>
      <c r="L297" s="76"/>
      <c r="M297" s="76"/>
      <c r="N297" s="76"/>
      <c r="O297" s="76"/>
      <c r="P297" s="76"/>
      <c r="Q297" s="76"/>
      <c r="R297" s="76"/>
      <c r="S297" s="76"/>
      <c r="T297" s="76"/>
      <c r="U297" s="76"/>
      <c r="V297" s="76"/>
      <c r="W297" s="76"/>
      <c r="X297" s="76"/>
      <c r="Y297" s="76"/>
      <c r="Z297" s="76"/>
      <c r="AA297" s="76"/>
      <c r="AB297" s="76"/>
      <c r="AC297" s="76"/>
      <c r="AD297" s="77"/>
      <c r="AE297" s="77"/>
    </row>
    <row r="298" spans="1:31" x14ac:dyDescent="0.2">
      <c r="A298" s="76"/>
      <c r="B298" s="76"/>
      <c r="C298" s="76"/>
      <c r="D298" s="76"/>
      <c r="E298" s="76"/>
      <c r="F298" s="77"/>
      <c r="G298" s="77"/>
      <c r="H298" s="76"/>
      <c r="I298" s="76"/>
      <c r="J298" s="76"/>
      <c r="K298" s="76"/>
      <c r="L298" s="76"/>
      <c r="M298" s="76"/>
      <c r="N298" s="76"/>
      <c r="O298" s="76"/>
      <c r="P298" s="76"/>
      <c r="Q298" s="76"/>
      <c r="R298" s="76"/>
      <c r="S298" s="76"/>
      <c r="T298" s="76"/>
      <c r="U298" s="76"/>
      <c r="V298" s="76"/>
      <c r="W298" s="76"/>
      <c r="X298" s="76"/>
      <c r="Y298" s="76"/>
      <c r="Z298" s="76"/>
      <c r="AA298" s="76"/>
      <c r="AB298" s="76"/>
      <c r="AC298" s="76"/>
      <c r="AD298" s="77"/>
      <c r="AE298" s="77"/>
    </row>
    <row r="299" spans="1:31" x14ac:dyDescent="0.2">
      <c r="A299" s="76"/>
      <c r="B299" s="76"/>
      <c r="C299" s="76"/>
      <c r="D299" s="76"/>
      <c r="E299" s="76"/>
      <c r="F299" s="77"/>
      <c r="G299" s="77"/>
      <c r="H299" s="76"/>
      <c r="I299" s="76"/>
      <c r="J299" s="76"/>
      <c r="K299" s="76"/>
      <c r="L299" s="76"/>
      <c r="M299" s="76"/>
      <c r="N299" s="76"/>
      <c r="O299" s="76"/>
      <c r="P299" s="76"/>
      <c r="Q299" s="76"/>
      <c r="R299" s="76"/>
      <c r="S299" s="76"/>
      <c r="T299" s="76"/>
      <c r="U299" s="76"/>
      <c r="V299" s="76"/>
      <c r="W299" s="76"/>
      <c r="X299" s="76"/>
      <c r="Y299" s="76"/>
      <c r="Z299" s="76"/>
      <c r="AA299" s="76"/>
      <c r="AB299" s="76"/>
      <c r="AC299" s="76"/>
      <c r="AD299" s="77"/>
      <c r="AE299" s="77"/>
    </row>
    <row r="300" spans="1:31" x14ac:dyDescent="0.2">
      <c r="A300" s="76"/>
      <c r="B300" s="76"/>
      <c r="C300" s="76"/>
      <c r="D300" s="76"/>
      <c r="E300" s="76"/>
      <c r="F300" s="77"/>
      <c r="G300" s="77"/>
      <c r="H300" s="76"/>
      <c r="I300" s="76"/>
      <c r="J300" s="76"/>
      <c r="K300" s="76"/>
      <c r="L300" s="76"/>
      <c r="M300" s="76"/>
      <c r="N300" s="76"/>
      <c r="O300" s="76"/>
      <c r="P300" s="76"/>
      <c r="Q300" s="76"/>
      <c r="R300" s="76"/>
      <c r="S300" s="76"/>
      <c r="T300" s="76"/>
      <c r="U300" s="76"/>
      <c r="V300" s="76"/>
      <c r="W300" s="76"/>
      <c r="X300" s="76"/>
      <c r="Y300" s="76"/>
      <c r="Z300" s="76"/>
      <c r="AA300" s="76"/>
      <c r="AB300" s="76"/>
      <c r="AC300" s="76"/>
      <c r="AD300" s="77"/>
      <c r="AE300" s="77"/>
    </row>
    <row r="301" spans="1:31" x14ac:dyDescent="0.2">
      <c r="A301" s="76"/>
      <c r="B301" s="76"/>
      <c r="C301" s="76"/>
      <c r="D301" s="76"/>
      <c r="E301" s="76"/>
      <c r="F301" s="77"/>
      <c r="G301" s="77"/>
      <c r="H301" s="76"/>
      <c r="I301" s="76"/>
      <c r="J301" s="76"/>
      <c r="K301" s="76"/>
      <c r="L301" s="76"/>
      <c r="M301" s="76"/>
      <c r="N301" s="76"/>
      <c r="O301" s="76"/>
      <c r="P301" s="76"/>
      <c r="Q301" s="76"/>
      <c r="R301" s="76"/>
      <c r="S301" s="76"/>
      <c r="T301" s="76"/>
      <c r="U301" s="76"/>
      <c r="V301" s="76"/>
      <c r="W301" s="76"/>
      <c r="X301" s="76"/>
      <c r="Y301" s="76"/>
      <c r="Z301" s="76"/>
      <c r="AA301" s="76"/>
      <c r="AB301" s="76"/>
      <c r="AC301" s="76"/>
      <c r="AD301" s="77"/>
      <c r="AE301" s="77"/>
    </row>
    <row r="302" spans="1:31" x14ac:dyDescent="0.2">
      <c r="A302" s="76"/>
      <c r="B302" s="76"/>
      <c r="C302" s="76"/>
      <c r="D302" s="76"/>
      <c r="E302" s="76"/>
      <c r="F302" s="77"/>
      <c r="G302" s="77"/>
      <c r="H302" s="76"/>
      <c r="I302" s="76"/>
      <c r="J302" s="76"/>
      <c r="K302" s="76"/>
      <c r="L302" s="76"/>
      <c r="M302" s="76"/>
      <c r="N302" s="76"/>
      <c r="O302" s="76"/>
      <c r="P302" s="76"/>
      <c r="Q302" s="76"/>
      <c r="R302" s="76"/>
      <c r="S302" s="76"/>
      <c r="T302" s="76"/>
      <c r="U302" s="76"/>
      <c r="V302" s="76"/>
      <c r="W302" s="76"/>
      <c r="X302" s="76"/>
      <c r="Y302" s="76"/>
      <c r="Z302" s="76"/>
      <c r="AA302" s="76"/>
      <c r="AB302" s="76"/>
      <c r="AC302" s="76"/>
      <c r="AD302" s="77"/>
      <c r="AE302" s="77"/>
    </row>
    <row r="303" spans="1:31" x14ac:dyDescent="0.2">
      <c r="A303" s="76"/>
      <c r="B303" s="76"/>
      <c r="C303" s="76"/>
      <c r="D303" s="76"/>
      <c r="E303" s="76"/>
      <c r="F303" s="77"/>
      <c r="G303" s="77"/>
      <c r="H303" s="76"/>
      <c r="I303" s="76"/>
      <c r="J303" s="76"/>
      <c r="K303" s="76"/>
      <c r="L303" s="76"/>
      <c r="M303" s="76"/>
      <c r="N303" s="76"/>
      <c r="O303" s="76"/>
      <c r="P303" s="76"/>
      <c r="Q303" s="76"/>
      <c r="R303" s="76"/>
      <c r="S303" s="76"/>
      <c r="T303" s="76"/>
      <c r="U303" s="76"/>
      <c r="V303" s="76"/>
      <c r="W303" s="76"/>
      <c r="X303" s="76"/>
      <c r="Y303" s="76"/>
      <c r="Z303" s="76"/>
      <c r="AA303" s="76"/>
      <c r="AB303" s="76"/>
      <c r="AC303" s="76"/>
      <c r="AD303" s="77"/>
      <c r="AE303" s="77"/>
    </row>
    <row r="304" spans="1:31" x14ac:dyDescent="0.2">
      <c r="A304" s="76"/>
      <c r="B304" s="76"/>
      <c r="C304" s="76"/>
      <c r="D304" s="76"/>
      <c r="E304" s="76"/>
      <c r="F304" s="77"/>
      <c r="G304" s="77"/>
      <c r="H304" s="76"/>
      <c r="I304" s="76"/>
      <c r="J304" s="76"/>
      <c r="K304" s="76"/>
      <c r="L304" s="76"/>
      <c r="M304" s="76"/>
      <c r="N304" s="76"/>
      <c r="O304" s="76"/>
      <c r="P304" s="76"/>
      <c r="Q304" s="76"/>
      <c r="R304" s="76"/>
      <c r="S304" s="76"/>
      <c r="T304" s="76"/>
      <c r="U304" s="76"/>
      <c r="V304" s="76"/>
      <c r="W304" s="76"/>
      <c r="X304" s="76"/>
      <c r="Y304" s="76"/>
      <c r="Z304" s="76"/>
      <c r="AA304" s="76"/>
      <c r="AB304" s="76"/>
      <c r="AC304" s="76"/>
      <c r="AD304" s="77"/>
      <c r="AE304" s="77"/>
    </row>
    <row r="305" spans="1:31" x14ac:dyDescent="0.2">
      <c r="A305" s="76"/>
      <c r="B305" s="76"/>
      <c r="C305" s="76"/>
      <c r="D305" s="76"/>
      <c r="E305" s="76"/>
      <c r="F305" s="77"/>
      <c r="G305" s="77"/>
      <c r="H305" s="76"/>
      <c r="I305" s="76"/>
      <c r="J305" s="76"/>
      <c r="K305" s="76"/>
      <c r="L305" s="76"/>
      <c r="M305" s="76"/>
      <c r="N305" s="76"/>
      <c r="O305" s="76"/>
      <c r="P305" s="76"/>
      <c r="Q305" s="76"/>
      <c r="R305" s="76"/>
      <c r="S305" s="76"/>
      <c r="T305" s="76"/>
      <c r="U305" s="76"/>
      <c r="V305" s="76"/>
      <c r="W305" s="76"/>
      <c r="X305" s="76"/>
      <c r="Y305" s="76"/>
      <c r="Z305" s="76"/>
      <c r="AA305" s="76"/>
      <c r="AB305" s="76"/>
      <c r="AC305" s="76"/>
      <c r="AD305" s="77"/>
      <c r="AE305" s="77"/>
    </row>
    <row r="306" spans="1:31" x14ac:dyDescent="0.2">
      <c r="A306" s="76"/>
      <c r="B306" s="76"/>
      <c r="C306" s="76"/>
      <c r="D306" s="76"/>
      <c r="E306" s="76"/>
      <c r="F306" s="77"/>
      <c r="G306" s="77"/>
      <c r="H306" s="76"/>
      <c r="I306" s="76"/>
      <c r="J306" s="76"/>
      <c r="K306" s="76"/>
      <c r="L306" s="76"/>
      <c r="M306" s="76"/>
      <c r="N306" s="76"/>
      <c r="O306" s="76"/>
      <c r="P306" s="76"/>
      <c r="Q306" s="76"/>
      <c r="R306" s="76"/>
      <c r="S306" s="76"/>
      <c r="T306" s="76"/>
      <c r="U306" s="76"/>
      <c r="V306" s="76"/>
      <c r="W306" s="76"/>
      <c r="X306" s="76"/>
      <c r="Y306" s="76"/>
      <c r="Z306" s="76"/>
      <c r="AA306" s="76"/>
      <c r="AB306" s="76"/>
      <c r="AC306" s="76"/>
      <c r="AD306" s="77"/>
      <c r="AE306" s="77"/>
    </row>
    <row r="307" spans="1:31" x14ac:dyDescent="0.2">
      <c r="A307" s="76"/>
      <c r="B307" s="76"/>
      <c r="C307" s="76"/>
      <c r="D307" s="76"/>
      <c r="E307" s="76"/>
      <c r="F307" s="77"/>
      <c r="G307" s="77"/>
      <c r="H307" s="76"/>
      <c r="I307" s="76"/>
      <c r="J307" s="76"/>
      <c r="K307" s="76"/>
      <c r="L307" s="76"/>
      <c r="M307" s="76"/>
      <c r="N307" s="76"/>
      <c r="O307" s="76"/>
      <c r="P307" s="76"/>
      <c r="Q307" s="76"/>
      <c r="R307" s="76"/>
      <c r="S307" s="76"/>
      <c r="T307" s="76"/>
      <c r="U307" s="76"/>
      <c r="V307" s="76"/>
      <c r="W307" s="76"/>
      <c r="X307" s="76"/>
      <c r="Y307" s="76"/>
      <c r="Z307" s="76"/>
      <c r="AA307" s="76"/>
      <c r="AB307" s="76"/>
      <c r="AC307" s="76"/>
      <c r="AD307" s="77"/>
      <c r="AE307" s="77"/>
    </row>
    <row r="308" spans="1:31" x14ac:dyDescent="0.2">
      <c r="A308" s="76"/>
      <c r="B308" s="76"/>
      <c r="C308" s="76"/>
      <c r="D308" s="76"/>
      <c r="E308" s="76"/>
      <c r="F308" s="77"/>
      <c r="G308" s="77"/>
      <c r="H308" s="76"/>
      <c r="I308" s="76"/>
      <c r="J308" s="76"/>
      <c r="K308" s="76"/>
      <c r="L308" s="76"/>
      <c r="M308" s="76"/>
      <c r="N308" s="76"/>
      <c r="O308" s="76"/>
      <c r="P308" s="76"/>
      <c r="Q308" s="76"/>
      <c r="R308" s="76"/>
      <c r="S308" s="76"/>
      <c r="T308" s="76"/>
      <c r="U308" s="76"/>
      <c r="V308" s="76"/>
      <c r="W308" s="76"/>
      <c r="X308" s="76"/>
      <c r="Y308" s="76"/>
      <c r="Z308" s="76"/>
      <c r="AA308" s="76"/>
      <c r="AB308" s="76"/>
      <c r="AC308" s="76"/>
      <c r="AD308" s="77"/>
      <c r="AE308" s="77"/>
    </row>
    <row r="309" spans="1:31" x14ac:dyDescent="0.2">
      <c r="A309" s="76"/>
      <c r="B309" s="76"/>
      <c r="C309" s="76"/>
      <c r="D309" s="76"/>
      <c r="E309" s="76"/>
      <c r="F309" s="77"/>
      <c r="G309" s="77"/>
      <c r="H309" s="76"/>
      <c r="I309" s="76"/>
      <c r="J309" s="76"/>
      <c r="K309" s="76"/>
      <c r="L309" s="76"/>
      <c r="M309" s="76"/>
      <c r="N309" s="76"/>
      <c r="O309" s="76"/>
      <c r="P309" s="76"/>
      <c r="Q309" s="76"/>
      <c r="R309" s="76"/>
      <c r="S309" s="76"/>
      <c r="T309" s="76"/>
      <c r="U309" s="76"/>
      <c r="V309" s="76"/>
      <c r="W309" s="76"/>
      <c r="X309" s="76"/>
      <c r="Y309" s="76"/>
      <c r="Z309" s="76"/>
      <c r="AA309" s="76"/>
      <c r="AB309" s="76"/>
      <c r="AC309" s="76"/>
      <c r="AD309" s="77"/>
      <c r="AE309" s="77"/>
    </row>
    <row r="310" spans="1:31" x14ac:dyDescent="0.2">
      <c r="A310" s="76"/>
      <c r="B310" s="76"/>
      <c r="C310" s="76"/>
      <c r="D310" s="76"/>
      <c r="E310" s="76"/>
      <c r="F310" s="77"/>
      <c r="G310" s="77"/>
      <c r="H310" s="76"/>
      <c r="I310" s="76"/>
      <c r="J310" s="76"/>
      <c r="K310" s="76"/>
      <c r="L310" s="76"/>
      <c r="M310" s="76"/>
      <c r="N310" s="76"/>
      <c r="O310" s="76"/>
      <c r="P310" s="76"/>
      <c r="Q310" s="76"/>
      <c r="R310" s="76"/>
      <c r="S310" s="76"/>
      <c r="T310" s="76"/>
      <c r="U310" s="76"/>
      <c r="V310" s="76"/>
      <c r="W310" s="76"/>
      <c r="X310" s="76"/>
      <c r="Y310" s="76"/>
      <c r="Z310" s="76"/>
      <c r="AA310" s="76"/>
      <c r="AB310" s="76"/>
      <c r="AC310" s="76"/>
      <c r="AD310" s="77"/>
      <c r="AE310" s="77"/>
    </row>
    <row r="311" spans="1:31" x14ac:dyDescent="0.2">
      <c r="A311" s="76"/>
      <c r="B311" s="76"/>
      <c r="C311" s="76"/>
      <c r="D311" s="76"/>
      <c r="E311" s="76"/>
      <c r="F311" s="77"/>
      <c r="G311" s="77"/>
      <c r="H311" s="76"/>
      <c r="I311" s="76"/>
      <c r="J311" s="76"/>
      <c r="K311" s="76"/>
      <c r="L311" s="76"/>
      <c r="M311" s="76"/>
      <c r="N311" s="76"/>
      <c r="O311" s="76"/>
      <c r="P311" s="76"/>
      <c r="Q311" s="76"/>
      <c r="R311" s="76"/>
      <c r="S311" s="76"/>
      <c r="T311" s="76"/>
      <c r="U311" s="76"/>
      <c r="V311" s="76"/>
      <c r="W311" s="76"/>
      <c r="X311" s="76"/>
      <c r="Y311" s="76"/>
      <c r="Z311" s="76"/>
      <c r="AA311" s="76"/>
      <c r="AB311" s="76"/>
      <c r="AC311" s="76"/>
      <c r="AD311" s="77"/>
      <c r="AE311" s="77"/>
    </row>
    <row r="312" spans="1:31" x14ac:dyDescent="0.2">
      <c r="A312" s="76"/>
      <c r="B312" s="76"/>
      <c r="C312" s="76"/>
      <c r="D312" s="76"/>
      <c r="E312" s="76"/>
      <c r="F312" s="77"/>
      <c r="G312" s="77"/>
      <c r="H312" s="76"/>
      <c r="I312" s="76"/>
      <c r="J312" s="76"/>
      <c r="K312" s="76"/>
      <c r="L312" s="76"/>
      <c r="M312" s="76"/>
      <c r="N312" s="76"/>
      <c r="O312" s="76"/>
      <c r="P312" s="76"/>
      <c r="Q312" s="76"/>
      <c r="R312" s="76"/>
      <c r="S312" s="76"/>
      <c r="T312" s="76"/>
      <c r="U312" s="76"/>
      <c r="V312" s="76"/>
      <c r="W312" s="76"/>
      <c r="X312" s="76"/>
      <c r="Y312" s="76"/>
      <c r="Z312" s="76"/>
      <c r="AA312" s="76"/>
      <c r="AB312" s="76"/>
      <c r="AC312" s="76"/>
      <c r="AD312" s="77"/>
      <c r="AE312" s="77"/>
    </row>
    <row r="313" spans="1:31" x14ac:dyDescent="0.2">
      <c r="A313" s="76"/>
      <c r="B313" s="76"/>
      <c r="C313" s="76"/>
      <c r="D313" s="76"/>
      <c r="E313" s="76"/>
      <c r="F313" s="77"/>
      <c r="G313" s="77"/>
      <c r="H313" s="76"/>
      <c r="I313" s="76"/>
      <c r="J313" s="76"/>
      <c r="K313" s="76"/>
      <c r="L313" s="76"/>
      <c r="M313" s="76"/>
      <c r="N313" s="76"/>
      <c r="O313" s="76"/>
      <c r="P313" s="76"/>
      <c r="Q313" s="76"/>
      <c r="R313" s="76"/>
      <c r="S313" s="76"/>
      <c r="T313" s="76"/>
      <c r="U313" s="76"/>
      <c r="V313" s="76"/>
      <c r="W313" s="76"/>
      <c r="X313" s="76"/>
      <c r="Y313" s="76"/>
      <c r="Z313" s="76"/>
      <c r="AA313" s="76"/>
      <c r="AB313" s="76"/>
      <c r="AC313" s="76"/>
      <c r="AD313" s="77"/>
      <c r="AE313" s="77"/>
    </row>
    <row r="314" spans="1:31" x14ac:dyDescent="0.2">
      <c r="A314" s="76"/>
      <c r="B314" s="76"/>
      <c r="C314" s="76"/>
      <c r="D314" s="76"/>
      <c r="E314" s="76"/>
      <c r="F314" s="77"/>
      <c r="G314" s="77"/>
      <c r="H314" s="76"/>
      <c r="I314" s="76"/>
      <c r="J314" s="76"/>
      <c r="K314" s="76"/>
      <c r="L314" s="76"/>
      <c r="M314" s="76"/>
      <c r="N314" s="76"/>
      <c r="O314" s="76"/>
      <c r="P314" s="76"/>
      <c r="Q314" s="76"/>
      <c r="R314" s="76"/>
      <c r="S314" s="76"/>
      <c r="T314" s="76"/>
      <c r="U314" s="76"/>
      <c r="V314" s="76"/>
      <c r="W314" s="76"/>
      <c r="X314" s="76"/>
      <c r="Y314" s="76"/>
      <c r="Z314" s="76"/>
      <c r="AA314" s="76"/>
      <c r="AB314" s="76"/>
      <c r="AC314" s="76"/>
      <c r="AD314" s="77"/>
      <c r="AE314" s="77"/>
    </row>
    <row r="315" spans="1:31" x14ac:dyDescent="0.2">
      <c r="A315" s="76"/>
      <c r="B315" s="76"/>
      <c r="C315" s="76"/>
      <c r="D315" s="76"/>
      <c r="E315" s="76"/>
      <c r="F315" s="77"/>
      <c r="G315" s="77"/>
      <c r="H315" s="76"/>
      <c r="I315" s="76"/>
      <c r="J315" s="76"/>
      <c r="K315" s="76"/>
      <c r="L315" s="76"/>
      <c r="M315" s="76"/>
      <c r="N315" s="76"/>
      <c r="O315" s="76"/>
      <c r="P315" s="76"/>
      <c r="Q315" s="76"/>
      <c r="R315" s="76"/>
      <c r="S315" s="76"/>
      <c r="T315" s="76"/>
      <c r="U315" s="76"/>
      <c r="V315" s="76"/>
      <c r="W315" s="76"/>
      <c r="X315" s="76"/>
      <c r="Y315" s="76"/>
      <c r="Z315" s="76"/>
      <c r="AA315" s="76"/>
      <c r="AB315" s="76"/>
      <c r="AC315" s="76"/>
      <c r="AD315" s="77"/>
      <c r="AE315" s="77"/>
    </row>
    <row r="316" spans="1:31" x14ac:dyDescent="0.2">
      <c r="A316" s="76"/>
      <c r="B316" s="76"/>
      <c r="C316" s="76"/>
      <c r="D316" s="76"/>
      <c r="E316" s="76"/>
      <c r="F316" s="77"/>
      <c r="G316" s="77"/>
      <c r="H316" s="76"/>
      <c r="I316" s="76"/>
      <c r="J316" s="76"/>
      <c r="K316" s="76"/>
      <c r="L316" s="76"/>
      <c r="M316" s="76"/>
      <c r="N316" s="76"/>
      <c r="O316" s="76"/>
      <c r="P316" s="76"/>
      <c r="Q316" s="76"/>
      <c r="R316" s="76"/>
      <c r="S316" s="76"/>
      <c r="T316" s="76"/>
      <c r="U316" s="76"/>
      <c r="V316" s="76"/>
      <c r="W316" s="76"/>
      <c r="X316" s="76"/>
      <c r="Y316" s="76"/>
      <c r="Z316" s="76"/>
      <c r="AA316" s="76"/>
      <c r="AB316" s="76"/>
      <c r="AC316" s="76"/>
      <c r="AD316" s="77"/>
      <c r="AE316" s="77"/>
    </row>
    <row r="317" spans="1:31" x14ac:dyDescent="0.2">
      <c r="A317" s="76"/>
      <c r="B317" s="76"/>
      <c r="C317" s="76"/>
      <c r="D317" s="76"/>
      <c r="E317" s="76"/>
      <c r="F317" s="77"/>
      <c r="G317" s="77"/>
      <c r="H317" s="76"/>
      <c r="I317" s="76"/>
      <c r="J317" s="76"/>
      <c r="K317" s="76"/>
      <c r="L317" s="76"/>
      <c r="M317" s="76"/>
      <c r="N317" s="76"/>
      <c r="O317" s="76"/>
      <c r="P317" s="76"/>
      <c r="Q317" s="76"/>
      <c r="R317" s="76"/>
      <c r="S317" s="76"/>
      <c r="T317" s="76"/>
      <c r="U317" s="76"/>
      <c r="V317" s="76"/>
      <c r="W317" s="76"/>
      <c r="X317" s="76"/>
      <c r="Y317" s="76"/>
      <c r="Z317" s="76"/>
      <c r="AA317" s="76"/>
      <c r="AB317" s="76"/>
      <c r="AC317" s="76"/>
      <c r="AD317" s="77"/>
      <c r="AE317" s="77"/>
    </row>
    <row r="318" spans="1:31" x14ac:dyDescent="0.2">
      <c r="A318" s="76"/>
      <c r="B318" s="76"/>
      <c r="C318" s="76"/>
      <c r="D318" s="76"/>
      <c r="E318" s="76"/>
      <c r="F318" s="77"/>
      <c r="G318" s="77"/>
      <c r="H318" s="76"/>
      <c r="I318" s="76"/>
      <c r="J318" s="76"/>
      <c r="K318" s="76"/>
      <c r="L318" s="76"/>
      <c r="M318" s="76"/>
      <c r="N318" s="76"/>
      <c r="O318" s="76"/>
      <c r="P318" s="76"/>
      <c r="Q318" s="76"/>
      <c r="R318" s="76"/>
      <c r="S318" s="76"/>
      <c r="T318" s="76"/>
      <c r="U318" s="76"/>
      <c r="V318" s="76"/>
      <c r="W318" s="76"/>
      <c r="X318" s="76"/>
      <c r="Y318" s="76"/>
      <c r="Z318" s="76"/>
      <c r="AA318" s="76"/>
      <c r="AB318" s="76"/>
      <c r="AC318" s="76"/>
      <c r="AD318" s="77"/>
      <c r="AE318" s="77"/>
    </row>
    <row r="319" spans="1:31" x14ac:dyDescent="0.2">
      <c r="A319" s="76"/>
      <c r="B319" s="76"/>
      <c r="C319" s="76"/>
      <c r="D319" s="76"/>
      <c r="E319" s="76"/>
      <c r="F319" s="77"/>
      <c r="G319" s="77"/>
      <c r="H319" s="76"/>
      <c r="I319" s="76"/>
      <c r="J319" s="76"/>
      <c r="K319" s="76"/>
      <c r="L319" s="76"/>
      <c r="M319" s="76"/>
      <c r="N319" s="76"/>
      <c r="O319" s="76"/>
      <c r="P319" s="76"/>
      <c r="Q319" s="76"/>
      <c r="R319" s="76"/>
      <c r="S319" s="76"/>
      <c r="T319" s="76"/>
      <c r="U319" s="76"/>
      <c r="V319" s="76"/>
      <c r="W319" s="76"/>
      <c r="X319" s="76"/>
      <c r="Y319" s="76"/>
      <c r="Z319" s="76"/>
      <c r="AA319" s="76"/>
      <c r="AB319" s="76"/>
      <c r="AC319" s="76"/>
      <c r="AD319" s="77"/>
      <c r="AE319" s="77"/>
    </row>
    <row r="320" spans="1:31" x14ac:dyDescent="0.2">
      <c r="A320" s="76"/>
      <c r="B320" s="76"/>
      <c r="C320" s="76"/>
      <c r="D320" s="76"/>
      <c r="E320" s="76"/>
      <c r="F320" s="77"/>
      <c r="G320" s="77"/>
      <c r="H320" s="76"/>
      <c r="I320" s="76"/>
      <c r="J320" s="76"/>
      <c r="K320" s="76"/>
      <c r="L320" s="76"/>
      <c r="M320" s="76"/>
      <c r="N320" s="76"/>
      <c r="O320" s="76"/>
      <c r="P320" s="76"/>
      <c r="Q320" s="76"/>
      <c r="R320" s="76"/>
      <c r="S320" s="76"/>
      <c r="T320" s="76"/>
      <c r="U320" s="76"/>
      <c r="V320" s="76"/>
      <c r="W320" s="76"/>
      <c r="X320" s="76"/>
      <c r="Y320" s="76"/>
      <c r="Z320" s="76"/>
      <c r="AA320" s="76"/>
      <c r="AB320" s="76"/>
      <c r="AC320" s="76"/>
      <c r="AD320" s="77"/>
      <c r="AE320" s="77"/>
    </row>
    <row r="321" spans="1:31" x14ac:dyDescent="0.2">
      <c r="A321" s="76"/>
      <c r="B321" s="76"/>
      <c r="C321" s="76"/>
      <c r="D321" s="76"/>
      <c r="E321" s="76"/>
      <c r="F321" s="77"/>
      <c r="G321" s="77"/>
      <c r="H321" s="76"/>
      <c r="I321" s="76"/>
      <c r="J321" s="76"/>
      <c r="K321" s="76"/>
      <c r="L321" s="76"/>
      <c r="M321" s="76"/>
      <c r="N321" s="76"/>
      <c r="O321" s="76"/>
      <c r="P321" s="76"/>
      <c r="Q321" s="76"/>
      <c r="R321" s="76"/>
      <c r="S321" s="76"/>
      <c r="T321" s="76"/>
      <c r="U321" s="76"/>
      <c r="V321" s="76"/>
      <c r="W321" s="76"/>
      <c r="X321" s="76"/>
      <c r="Y321" s="76"/>
      <c r="Z321" s="76"/>
      <c r="AA321" s="76"/>
      <c r="AB321" s="76"/>
      <c r="AC321" s="76"/>
      <c r="AD321" s="77"/>
      <c r="AE321" s="77"/>
    </row>
    <row r="322" spans="1:31" x14ac:dyDescent="0.2">
      <c r="A322" s="76"/>
      <c r="B322" s="76"/>
      <c r="C322" s="76"/>
      <c r="D322" s="76"/>
      <c r="E322" s="76"/>
      <c r="F322" s="77"/>
      <c r="G322" s="77"/>
      <c r="H322" s="76"/>
      <c r="I322" s="76"/>
      <c r="J322" s="76"/>
      <c r="K322" s="76"/>
      <c r="L322" s="76"/>
      <c r="M322" s="76"/>
      <c r="N322" s="76"/>
      <c r="O322" s="76"/>
      <c r="P322" s="76"/>
      <c r="Q322" s="76"/>
      <c r="R322" s="76"/>
      <c r="S322" s="76"/>
      <c r="T322" s="76"/>
      <c r="U322" s="76"/>
      <c r="V322" s="76"/>
      <c r="W322" s="76"/>
      <c r="X322" s="76"/>
      <c r="Y322" s="76"/>
      <c r="Z322" s="76"/>
      <c r="AA322" s="76"/>
      <c r="AB322" s="76"/>
      <c r="AC322" s="76"/>
      <c r="AD322" s="77"/>
      <c r="AE322" s="77"/>
    </row>
    <row r="323" spans="1:31" x14ac:dyDescent="0.2">
      <c r="A323" s="76"/>
      <c r="B323" s="76"/>
      <c r="C323" s="76"/>
      <c r="D323" s="76"/>
      <c r="E323" s="76"/>
      <c r="F323" s="77"/>
      <c r="G323" s="77"/>
      <c r="H323" s="76"/>
      <c r="I323" s="76"/>
      <c r="J323" s="76"/>
      <c r="K323" s="76"/>
      <c r="L323" s="76"/>
      <c r="M323" s="76"/>
      <c r="N323" s="76"/>
      <c r="O323" s="76"/>
      <c r="P323" s="76"/>
      <c r="Q323" s="76"/>
      <c r="R323" s="76"/>
      <c r="S323" s="76"/>
      <c r="T323" s="76"/>
      <c r="U323" s="76"/>
      <c r="V323" s="76"/>
      <c r="W323" s="76"/>
      <c r="X323" s="76"/>
      <c r="Y323" s="76"/>
      <c r="Z323" s="76"/>
      <c r="AA323" s="76"/>
      <c r="AB323" s="76"/>
      <c r="AC323" s="76"/>
      <c r="AD323" s="77"/>
      <c r="AE323" s="77"/>
    </row>
    <row r="324" spans="1:31" x14ac:dyDescent="0.2">
      <c r="A324" s="76"/>
      <c r="B324" s="76"/>
      <c r="C324" s="76"/>
      <c r="D324" s="76"/>
      <c r="E324" s="76"/>
      <c r="F324" s="77"/>
      <c r="G324" s="77"/>
      <c r="H324" s="76"/>
      <c r="I324" s="76"/>
      <c r="J324" s="76"/>
      <c r="K324" s="76"/>
      <c r="L324" s="76"/>
      <c r="M324" s="76"/>
      <c r="N324" s="76"/>
      <c r="O324" s="76"/>
      <c r="P324" s="76"/>
      <c r="Q324" s="76"/>
      <c r="R324" s="76"/>
      <c r="S324" s="76"/>
      <c r="T324" s="76"/>
      <c r="U324" s="76"/>
      <c r="V324" s="76"/>
      <c r="W324" s="76"/>
      <c r="X324" s="76"/>
      <c r="Y324" s="76"/>
      <c r="Z324" s="76"/>
      <c r="AA324" s="76"/>
      <c r="AB324" s="76"/>
      <c r="AC324" s="76"/>
      <c r="AD324" s="77"/>
      <c r="AE324" s="77"/>
    </row>
    <row r="325" spans="1:31" x14ac:dyDescent="0.2">
      <c r="A325" s="76"/>
      <c r="B325" s="76"/>
      <c r="C325" s="76"/>
      <c r="D325" s="76"/>
      <c r="E325" s="76"/>
      <c r="F325" s="77"/>
      <c r="G325" s="77"/>
      <c r="H325" s="76"/>
      <c r="I325" s="76"/>
      <c r="J325" s="76"/>
      <c r="K325" s="76"/>
      <c r="L325" s="76"/>
      <c r="M325" s="76"/>
      <c r="N325" s="76"/>
      <c r="O325" s="76"/>
      <c r="P325" s="76"/>
      <c r="Q325" s="76"/>
      <c r="R325" s="76"/>
      <c r="S325" s="76"/>
      <c r="T325" s="76"/>
      <c r="U325" s="76"/>
      <c r="V325" s="76"/>
      <c r="W325" s="76"/>
      <c r="X325" s="76"/>
      <c r="Y325" s="76"/>
      <c r="Z325" s="76"/>
      <c r="AA325" s="76"/>
      <c r="AB325" s="76"/>
      <c r="AC325" s="76"/>
      <c r="AD325" s="77"/>
      <c r="AE325" s="77"/>
    </row>
    <row r="326" spans="1:31" x14ac:dyDescent="0.2">
      <c r="A326" s="76"/>
      <c r="B326" s="76"/>
      <c r="C326" s="76"/>
      <c r="D326" s="76"/>
      <c r="E326" s="76"/>
      <c r="F326" s="77"/>
      <c r="G326" s="77"/>
      <c r="H326" s="76"/>
      <c r="I326" s="76"/>
      <c r="J326" s="76"/>
      <c r="K326" s="76"/>
      <c r="L326" s="76"/>
      <c r="M326" s="76"/>
      <c r="N326" s="76"/>
      <c r="O326" s="76"/>
      <c r="P326" s="76"/>
      <c r="Q326" s="76"/>
      <c r="R326" s="76"/>
      <c r="S326" s="76"/>
      <c r="T326" s="76"/>
      <c r="U326" s="76"/>
      <c r="V326" s="76"/>
      <c r="W326" s="76"/>
      <c r="X326" s="76"/>
      <c r="Y326" s="76"/>
      <c r="Z326" s="76"/>
      <c r="AA326" s="76"/>
      <c r="AB326" s="76"/>
      <c r="AC326" s="76"/>
      <c r="AD326" s="77"/>
      <c r="AE326" s="77"/>
    </row>
    <row r="327" spans="1:31" x14ac:dyDescent="0.2">
      <c r="A327" s="76"/>
      <c r="B327" s="76"/>
      <c r="C327" s="76"/>
      <c r="D327" s="76"/>
      <c r="E327" s="76"/>
      <c r="F327" s="77"/>
      <c r="G327" s="77"/>
      <c r="H327" s="76"/>
      <c r="I327" s="76"/>
      <c r="J327" s="76"/>
      <c r="K327" s="76"/>
      <c r="L327" s="76"/>
      <c r="M327" s="76"/>
      <c r="N327" s="76"/>
      <c r="O327" s="76"/>
      <c r="P327" s="76"/>
      <c r="Q327" s="76"/>
      <c r="R327" s="76"/>
      <c r="S327" s="76"/>
      <c r="T327" s="76"/>
      <c r="U327" s="76"/>
      <c r="V327" s="76"/>
      <c r="W327" s="76"/>
      <c r="X327" s="76"/>
      <c r="Y327" s="76"/>
      <c r="Z327" s="76"/>
      <c r="AA327" s="76"/>
      <c r="AB327" s="76"/>
      <c r="AC327" s="76"/>
      <c r="AD327" s="77"/>
      <c r="AE327" s="77"/>
    </row>
    <row r="328" spans="1:31" x14ac:dyDescent="0.2">
      <c r="A328" s="76"/>
      <c r="B328" s="76"/>
      <c r="C328" s="76"/>
      <c r="D328" s="76"/>
      <c r="E328" s="76"/>
      <c r="F328" s="77"/>
      <c r="G328" s="77"/>
      <c r="H328" s="76"/>
      <c r="I328" s="76"/>
      <c r="J328" s="76"/>
      <c r="K328" s="76"/>
      <c r="L328" s="76"/>
      <c r="M328" s="76"/>
      <c r="N328" s="76"/>
      <c r="O328" s="76"/>
      <c r="P328" s="76"/>
      <c r="Q328" s="76"/>
      <c r="R328" s="76"/>
      <c r="S328" s="76"/>
      <c r="T328" s="76"/>
      <c r="U328" s="76"/>
      <c r="V328" s="76"/>
      <c r="W328" s="76"/>
      <c r="X328" s="76"/>
      <c r="Y328" s="76"/>
      <c r="Z328" s="76"/>
      <c r="AA328" s="76"/>
      <c r="AB328" s="76"/>
      <c r="AC328" s="76"/>
      <c r="AD328" s="77"/>
      <c r="AE328" s="77"/>
    </row>
    <row r="329" spans="1:31" x14ac:dyDescent="0.2">
      <c r="A329" s="76"/>
      <c r="B329" s="76"/>
      <c r="C329" s="76"/>
      <c r="D329" s="76"/>
      <c r="E329" s="76"/>
      <c r="F329" s="77"/>
      <c r="G329" s="77"/>
      <c r="H329" s="76"/>
      <c r="I329" s="76"/>
      <c r="J329" s="76"/>
      <c r="K329" s="76"/>
      <c r="L329" s="76"/>
      <c r="M329" s="76"/>
      <c r="N329" s="76"/>
      <c r="O329" s="76"/>
      <c r="P329" s="76"/>
      <c r="Q329" s="76"/>
      <c r="R329" s="76"/>
      <c r="S329" s="76"/>
      <c r="T329" s="76"/>
      <c r="U329" s="76"/>
      <c r="V329" s="76"/>
      <c r="W329" s="76"/>
      <c r="X329" s="76"/>
      <c r="Y329" s="76"/>
      <c r="Z329" s="76"/>
      <c r="AA329" s="76"/>
      <c r="AB329" s="76"/>
      <c r="AC329" s="76"/>
      <c r="AD329" s="77"/>
      <c r="AE329" s="77"/>
    </row>
    <row r="330" spans="1:31" x14ac:dyDescent="0.2">
      <c r="A330" s="76"/>
      <c r="B330" s="76"/>
      <c r="C330" s="76"/>
      <c r="D330" s="76"/>
      <c r="E330" s="76"/>
      <c r="F330" s="77"/>
      <c r="G330" s="77"/>
      <c r="H330" s="76"/>
      <c r="I330" s="76"/>
      <c r="J330" s="76"/>
      <c r="K330" s="76"/>
      <c r="L330" s="76"/>
      <c r="M330" s="76"/>
      <c r="N330" s="76"/>
      <c r="O330" s="76"/>
      <c r="P330" s="76"/>
      <c r="Q330" s="76"/>
      <c r="R330" s="76"/>
      <c r="S330" s="76"/>
      <c r="T330" s="76"/>
      <c r="U330" s="76"/>
      <c r="V330" s="76"/>
      <c r="W330" s="76"/>
      <c r="X330" s="76"/>
      <c r="Y330" s="76"/>
      <c r="Z330" s="76"/>
      <c r="AA330" s="76"/>
      <c r="AB330" s="76"/>
      <c r="AC330" s="76"/>
      <c r="AD330" s="77"/>
      <c r="AE330" s="77"/>
    </row>
    <row r="331" spans="1:31" x14ac:dyDescent="0.2">
      <c r="A331" s="76"/>
      <c r="B331" s="76"/>
      <c r="C331" s="76"/>
      <c r="D331" s="76"/>
      <c r="E331" s="76"/>
      <c r="F331" s="77"/>
      <c r="G331" s="77"/>
      <c r="H331" s="76"/>
      <c r="I331" s="76"/>
      <c r="J331" s="76"/>
      <c r="K331" s="76"/>
      <c r="L331" s="76"/>
      <c r="M331" s="76"/>
      <c r="N331" s="76"/>
      <c r="O331" s="76"/>
      <c r="P331" s="76"/>
      <c r="Q331" s="76"/>
      <c r="R331" s="76"/>
      <c r="S331" s="76"/>
      <c r="T331" s="76"/>
      <c r="U331" s="76"/>
      <c r="V331" s="76"/>
      <c r="W331" s="76"/>
      <c r="X331" s="76"/>
      <c r="Y331" s="76"/>
      <c r="Z331" s="76"/>
      <c r="AA331" s="76"/>
      <c r="AB331" s="76"/>
      <c r="AC331" s="76"/>
      <c r="AD331" s="77"/>
      <c r="AE331" s="77"/>
    </row>
    <row r="332" spans="1:31" x14ac:dyDescent="0.2">
      <c r="A332" s="76"/>
      <c r="B332" s="76"/>
      <c r="C332" s="76"/>
      <c r="D332" s="76"/>
      <c r="E332" s="76"/>
      <c r="F332" s="77"/>
      <c r="G332" s="77"/>
      <c r="H332" s="76"/>
      <c r="I332" s="76"/>
      <c r="J332" s="76"/>
      <c r="K332" s="76"/>
      <c r="L332" s="76"/>
      <c r="M332" s="76"/>
      <c r="N332" s="76"/>
      <c r="O332" s="76"/>
      <c r="P332" s="76"/>
      <c r="Q332" s="76"/>
      <c r="R332" s="76"/>
      <c r="S332" s="76"/>
      <c r="T332" s="76"/>
      <c r="U332" s="76"/>
      <c r="V332" s="76"/>
      <c r="W332" s="76"/>
      <c r="X332" s="76"/>
      <c r="Y332" s="76"/>
      <c r="Z332" s="76"/>
      <c r="AA332" s="76"/>
      <c r="AB332" s="76"/>
      <c r="AC332" s="76"/>
      <c r="AD332" s="77"/>
      <c r="AE332" s="77"/>
    </row>
    <row r="333" spans="1:31" x14ac:dyDescent="0.2">
      <c r="A333" s="76"/>
      <c r="B333" s="76"/>
      <c r="C333" s="76"/>
      <c r="D333" s="76"/>
      <c r="E333" s="76"/>
      <c r="F333" s="77"/>
      <c r="G333" s="77"/>
      <c r="H333" s="76"/>
      <c r="I333" s="76"/>
      <c r="J333" s="76"/>
      <c r="K333" s="76"/>
      <c r="L333" s="76"/>
      <c r="M333" s="76"/>
      <c r="N333" s="76"/>
      <c r="O333" s="76"/>
      <c r="P333" s="76"/>
      <c r="Q333" s="76"/>
      <c r="R333" s="76"/>
      <c r="S333" s="76"/>
      <c r="T333" s="76"/>
      <c r="U333" s="76"/>
      <c r="V333" s="76"/>
      <c r="W333" s="76"/>
      <c r="X333" s="76"/>
      <c r="Y333" s="76"/>
      <c r="Z333" s="76"/>
      <c r="AA333" s="76"/>
      <c r="AB333" s="76"/>
      <c r="AC333" s="76"/>
      <c r="AD333" s="77"/>
      <c r="AE333" s="77"/>
    </row>
    <row r="334" spans="1:31" x14ac:dyDescent="0.2">
      <c r="A334" s="76"/>
      <c r="B334" s="76"/>
      <c r="C334" s="76"/>
      <c r="D334" s="76"/>
      <c r="E334" s="76"/>
      <c r="F334" s="77"/>
      <c r="G334" s="77"/>
      <c r="H334" s="76"/>
      <c r="I334" s="76"/>
      <c r="J334" s="76"/>
      <c r="K334" s="76"/>
      <c r="L334" s="76"/>
      <c r="M334" s="76"/>
      <c r="N334" s="76"/>
      <c r="O334" s="76"/>
      <c r="P334" s="76"/>
      <c r="Q334" s="76"/>
      <c r="R334" s="76"/>
      <c r="S334" s="76"/>
      <c r="T334" s="76"/>
      <c r="U334" s="76"/>
      <c r="V334" s="76"/>
      <c r="W334" s="76"/>
      <c r="X334" s="76"/>
      <c r="Y334" s="76"/>
      <c r="Z334" s="76"/>
      <c r="AA334" s="76"/>
      <c r="AB334" s="76"/>
      <c r="AC334" s="76"/>
      <c r="AD334" s="77"/>
      <c r="AE334" s="77"/>
    </row>
    <row r="335" spans="1:31" x14ac:dyDescent="0.2">
      <c r="A335" s="76"/>
      <c r="B335" s="76"/>
      <c r="C335" s="76"/>
      <c r="D335" s="76"/>
      <c r="E335" s="76"/>
      <c r="F335" s="77"/>
      <c r="G335" s="77"/>
      <c r="H335" s="76"/>
      <c r="I335" s="76"/>
      <c r="J335" s="76"/>
      <c r="K335" s="76"/>
      <c r="L335" s="76"/>
      <c r="M335" s="76"/>
      <c r="N335" s="76"/>
      <c r="O335" s="76"/>
      <c r="P335" s="76"/>
      <c r="Q335" s="76"/>
      <c r="R335" s="76"/>
      <c r="S335" s="76"/>
      <c r="T335" s="76"/>
      <c r="U335" s="76"/>
      <c r="V335" s="76"/>
      <c r="W335" s="76"/>
      <c r="X335" s="76"/>
      <c r="Y335" s="76"/>
      <c r="Z335" s="76"/>
      <c r="AA335" s="76"/>
      <c r="AB335" s="76"/>
      <c r="AC335" s="76"/>
      <c r="AD335" s="77"/>
      <c r="AE335" s="77"/>
    </row>
    <row r="336" spans="1:31" x14ac:dyDescent="0.2">
      <c r="A336" s="76"/>
      <c r="B336" s="76"/>
      <c r="C336" s="76"/>
      <c r="D336" s="76"/>
      <c r="E336" s="76"/>
      <c r="F336" s="77"/>
      <c r="G336" s="77"/>
      <c r="H336" s="76"/>
      <c r="I336" s="76"/>
      <c r="J336" s="76"/>
      <c r="K336" s="76"/>
      <c r="L336" s="76"/>
      <c r="M336" s="76"/>
      <c r="N336" s="76"/>
      <c r="O336" s="76"/>
      <c r="P336" s="76"/>
      <c r="Q336" s="76"/>
      <c r="R336" s="76"/>
      <c r="S336" s="76"/>
      <c r="T336" s="76"/>
      <c r="U336" s="76"/>
      <c r="V336" s="76"/>
      <c r="W336" s="76"/>
      <c r="X336" s="76"/>
      <c r="Y336" s="76"/>
      <c r="Z336" s="76"/>
      <c r="AA336" s="76"/>
      <c r="AB336" s="76"/>
      <c r="AC336" s="76"/>
      <c r="AD336" s="77"/>
      <c r="AE336" s="77"/>
    </row>
    <row r="337" spans="1:31" x14ac:dyDescent="0.2">
      <c r="A337" s="76"/>
      <c r="B337" s="76"/>
      <c r="C337" s="76"/>
      <c r="D337" s="76"/>
      <c r="E337" s="76"/>
      <c r="F337" s="77"/>
      <c r="G337" s="77"/>
      <c r="H337" s="76"/>
      <c r="I337" s="76"/>
      <c r="J337" s="76"/>
      <c r="K337" s="76"/>
      <c r="L337" s="76"/>
      <c r="M337" s="76"/>
      <c r="N337" s="76"/>
      <c r="O337" s="76"/>
      <c r="P337" s="76"/>
      <c r="Q337" s="76"/>
      <c r="R337" s="76"/>
      <c r="S337" s="76"/>
      <c r="T337" s="76"/>
      <c r="U337" s="76"/>
      <c r="V337" s="76"/>
      <c r="W337" s="76"/>
      <c r="X337" s="76"/>
      <c r="Y337" s="76"/>
      <c r="Z337" s="76"/>
      <c r="AA337" s="76"/>
      <c r="AB337" s="76"/>
      <c r="AC337" s="76"/>
      <c r="AD337" s="77"/>
      <c r="AE337" s="77"/>
    </row>
    <row r="338" spans="1:31" x14ac:dyDescent="0.2">
      <c r="A338" s="76"/>
      <c r="B338" s="76"/>
      <c r="C338" s="76"/>
      <c r="D338" s="76"/>
      <c r="E338" s="76"/>
      <c r="F338" s="77"/>
      <c r="G338" s="77"/>
      <c r="H338" s="76"/>
      <c r="I338" s="76"/>
      <c r="J338" s="76"/>
      <c r="K338" s="76"/>
      <c r="L338" s="76"/>
      <c r="M338" s="76"/>
      <c r="N338" s="76"/>
      <c r="O338" s="76"/>
      <c r="P338" s="76"/>
      <c r="Q338" s="76"/>
      <c r="R338" s="76"/>
      <c r="S338" s="76"/>
      <c r="T338" s="76"/>
      <c r="U338" s="76"/>
      <c r="V338" s="76"/>
      <c r="W338" s="76"/>
      <c r="X338" s="76"/>
      <c r="Y338" s="76"/>
      <c r="Z338" s="76"/>
      <c r="AA338" s="76"/>
      <c r="AB338" s="76"/>
      <c r="AC338" s="76"/>
      <c r="AD338" s="77"/>
      <c r="AE338" s="77"/>
    </row>
    <row r="339" spans="1:31" x14ac:dyDescent="0.2">
      <c r="A339" s="76"/>
      <c r="B339" s="76"/>
      <c r="C339" s="76"/>
      <c r="D339" s="76"/>
      <c r="E339" s="76"/>
      <c r="F339" s="77"/>
      <c r="G339" s="77"/>
      <c r="H339" s="76"/>
      <c r="I339" s="76"/>
      <c r="J339" s="76"/>
      <c r="K339" s="76"/>
      <c r="L339" s="76"/>
      <c r="M339" s="76"/>
      <c r="N339" s="76"/>
      <c r="O339" s="76"/>
      <c r="P339" s="76"/>
      <c r="Q339" s="76"/>
      <c r="R339" s="76"/>
      <c r="S339" s="76"/>
      <c r="T339" s="76"/>
      <c r="U339" s="76"/>
      <c r="V339" s="76"/>
      <c r="W339" s="76"/>
      <c r="X339" s="76"/>
      <c r="Y339" s="76"/>
      <c r="Z339" s="76"/>
      <c r="AA339" s="76"/>
      <c r="AB339" s="76"/>
      <c r="AC339" s="76"/>
      <c r="AD339" s="77"/>
      <c r="AE339" s="77"/>
    </row>
    <row r="340" spans="1:31" x14ac:dyDescent="0.2">
      <c r="A340" s="76"/>
      <c r="B340" s="76"/>
      <c r="C340" s="76"/>
      <c r="D340" s="76"/>
      <c r="E340" s="76"/>
      <c r="F340" s="77"/>
      <c r="G340" s="77"/>
      <c r="H340" s="76"/>
      <c r="I340" s="76"/>
      <c r="J340" s="76"/>
      <c r="K340" s="76"/>
      <c r="L340" s="76"/>
      <c r="M340" s="76"/>
      <c r="N340" s="76"/>
      <c r="O340" s="76"/>
      <c r="P340" s="76"/>
      <c r="Q340" s="76"/>
      <c r="R340" s="76"/>
      <c r="S340" s="76"/>
      <c r="T340" s="76"/>
      <c r="U340" s="76"/>
      <c r="V340" s="76"/>
      <c r="W340" s="76"/>
      <c r="X340" s="76"/>
      <c r="Y340" s="76"/>
      <c r="Z340" s="76"/>
      <c r="AA340" s="76"/>
      <c r="AB340" s="76"/>
      <c r="AC340" s="76"/>
      <c r="AD340" s="77"/>
      <c r="AE340" s="77"/>
    </row>
    <row r="341" spans="1:31" x14ac:dyDescent="0.2">
      <c r="A341" s="76"/>
      <c r="B341" s="76"/>
      <c r="C341" s="76"/>
      <c r="D341" s="76"/>
      <c r="E341" s="76"/>
      <c r="F341" s="77"/>
      <c r="G341" s="77"/>
      <c r="H341" s="76"/>
      <c r="I341" s="76"/>
      <c r="J341" s="76"/>
      <c r="K341" s="76"/>
      <c r="L341" s="76"/>
      <c r="M341" s="76"/>
      <c r="N341" s="76"/>
      <c r="O341" s="76"/>
      <c r="P341" s="76"/>
      <c r="Q341" s="76"/>
      <c r="R341" s="76"/>
      <c r="S341" s="76"/>
      <c r="T341" s="76"/>
      <c r="U341" s="76"/>
      <c r="V341" s="76"/>
      <c r="W341" s="76"/>
      <c r="X341" s="76"/>
      <c r="Y341" s="76"/>
      <c r="Z341" s="76"/>
      <c r="AA341" s="76"/>
      <c r="AB341" s="76"/>
      <c r="AC341" s="76"/>
      <c r="AD341" s="77"/>
      <c r="AE341" s="77"/>
    </row>
    <row r="342" spans="1:31" x14ac:dyDescent="0.2">
      <c r="A342" s="76"/>
      <c r="B342" s="76"/>
      <c r="C342" s="76"/>
      <c r="D342" s="76"/>
      <c r="E342" s="76"/>
      <c r="F342" s="77"/>
      <c r="G342" s="77"/>
      <c r="H342" s="76"/>
      <c r="I342" s="76"/>
      <c r="J342" s="76"/>
      <c r="K342" s="76"/>
      <c r="L342" s="76"/>
      <c r="M342" s="76"/>
      <c r="N342" s="76"/>
      <c r="O342" s="76"/>
      <c r="P342" s="76"/>
      <c r="Q342" s="76"/>
      <c r="R342" s="76"/>
      <c r="S342" s="76"/>
      <c r="T342" s="76"/>
      <c r="U342" s="76"/>
      <c r="V342" s="76"/>
      <c r="W342" s="76"/>
      <c r="X342" s="76"/>
      <c r="Y342" s="76"/>
      <c r="Z342" s="76"/>
      <c r="AA342" s="76"/>
      <c r="AB342" s="76"/>
      <c r="AC342" s="76"/>
      <c r="AD342" s="77"/>
      <c r="AE342" s="77"/>
    </row>
    <row r="343" spans="1:31" x14ac:dyDescent="0.2">
      <c r="A343" s="76"/>
      <c r="B343" s="76"/>
      <c r="C343" s="76"/>
      <c r="D343" s="76"/>
      <c r="E343" s="76"/>
      <c r="F343" s="77"/>
      <c r="G343" s="77"/>
      <c r="H343" s="76"/>
      <c r="I343" s="76"/>
      <c r="J343" s="76"/>
      <c r="K343" s="76"/>
      <c r="L343" s="76"/>
      <c r="M343" s="76"/>
      <c r="N343" s="76"/>
      <c r="O343" s="76"/>
      <c r="P343" s="76"/>
      <c r="Q343" s="76"/>
      <c r="R343" s="76"/>
      <c r="S343" s="76"/>
      <c r="T343" s="76"/>
      <c r="U343" s="76"/>
      <c r="V343" s="76"/>
      <c r="W343" s="76"/>
      <c r="X343" s="76"/>
      <c r="Y343" s="76"/>
      <c r="Z343" s="76"/>
      <c r="AA343" s="76"/>
      <c r="AB343" s="76"/>
      <c r="AC343" s="76"/>
      <c r="AD343" s="77"/>
      <c r="AE343" s="77"/>
    </row>
    <row r="344" spans="1:31" x14ac:dyDescent="0.2">
      <c r="A344" s="76"/>
      <c r="B344" s="76"/>
      <c r="C344" s="76"/>
      <c r="D344" s="76"/>
      <c r="E344" s="76"/>
      <c r="F344" s="77"/>
      <c r="G344" s="77"/>
      <c r="H344" s="76"/>
      <c r="I344" s="76"/>
      <c r="J344" s="76"/>
      <c r="K344" s="76"/>
      <c r="L344" s="76"/>
      <c r="M344" s="76"/>
      <c r="N344" s="76"/>
      <c r="O344" s="76"/>
      <c r="P344" s="76"/>
      <c r="Q344" s="76"/>
      <c r="R344" s="76"/>
      <c r="S344" s="76"/>
      <c r="T344" s="76"/>
      <c r="U344" s="76"/>
      <c r="V344" s="76"/>
      <c r="W344" s="76"/>
      <c r="X344" s="76"/>
      <c r="Y344" s="76"/>
      <c r="Z344" s="76"/>
      <c r="AA344" s="76"/>
      <c r="AB344" s="76"/>
      <c r="AC344" s="76"/>
      <c r="AD344" s="77"/>
      <c r="AE344" s="77"/>
    </row>
    <row r="345" spans="1:31" x14ac:dyDescent="0.2">
      <c r="A345" s="76"/>
      <c r="B345" s="76"/>
      <c r="C345" s="76"/>
      <c r="D345" s="76"/>
      <c r="E345" s="76"/>
      <c r="F345" s="77"/>
      <c r="G345" s="77"/>
      <c r="H345" s="76"/>
      <c r="I345" s="76"/>
      <c r="J345" s="76"/>
      <c r="K345" s="76"/>
      <c r="L345" s="76"/>
      <c r="M345" s="76"/>
      <c r="N345" s="76"/>
      <c r="O345" s="76"/>
      <c r="P345" s="76"/>
      <c r="Q345" s="76"/>
      <c r="R345" s="76"/>
      <c r="S345" s="76"/>
      <c r="T345" s="76"/>
      <c r="U345" s="76"/>
      <c r="V345" s="76"/>
      <c r="W345" s="76"/>
      <c r="X345" s="76"/>
      <c r="Y345" s="76"/>
      <c r="Z345" s="76"/>
      <c r="AA345" s="76"/>
      <c r="AB345" s="76"/>
      <c r="AC345" s="76"/>
      <c r="AD345" s="77"/>
      <c r="AE345" s="77"/>
    </row>
    <row r="346" spans="1:31" x14ac:dyDescent="0.2">
      <c r="A346" s="76"/>
      <c r="B346" s="76"/>
      <c r="C346" s="76"/>
      <c r="D346" s="76"/>
      <c r="E346" s="76"/>
      <c r="F346" s="77"/>
      <c r="G346" s="77"/>
      <c r="H346" s="76"/>
      <c r="I346" s="76"/>
      <c r="J346" s="76"/>
      <c r="K346" s="76"/>
      <c r="L346" s="76"/>
      <c r="M346" s="76"/>
      <c r="N346" s="76"/>
      <c r="O346" s="76"/>
      <c r="P346" s="76"/>
      <c r="Q346" s="76"/>
      <c r="R346" s="76"/>
      <c r="S346" s="76"/>
      <c r="T346" s="76"/>
      <c r="U346" s="76"/>
      <c r="V346" s="76"/>
      <c r="W346" s="76"/>
      <c r="X346" s="76"/>
      <c r="Y346" s="76"/>
      <c r="Z346" s="76"/>
      <c r="AA346" s="76"/>
      <c r="AB346" s="76"/>
      <c r="AC346" s="76"/>
      <c r="AD346" s="77"/>
      <c r="AE346" s="77"/>
    </row>
    <row r="347" spans="1:31" x14ac:dyDescent="0.2">
      <c r="A347" s="76"/>
      <c r="B347" s="76"/>
      <c r="C347" s="76"/>
      <c r="D347" s="76"/>
      <c r="E347" s="76"/>
      <c r="F347" s="77"/>
      <c r="G347" s="77"/>
      <c r="H347" s="76"/>
      <c r="I347" s="76"/>
      <c r="J347" s="76"/>
      <c r="K347" s="76"/>
      <c r="L347" s="76"/>
      <c r="M347" s="76"/>
      <c r="N347" s="76"/>
      <c r="O347" s="76"/>
      <c r="P347" s="76"/>
      <c r="Q347" s="76"/>
      <c r="R347" s="76"/>
      <c r="S347" s="76"/>
      <c r="T347" s="76"/>
      <c r="U347" s="76"/>
      <c r="V347" s="76"/>
      <c r="W347" s="76"/>
      <c r="X347" s="76"/>
      <c r="Y347" s="76"/>
      <c r="Z347" s="76"/>
      <c r="AA347" s="76"/>
      <c r="AB347" s="76"/>
      <c r="AC347" s="76"/>
      <c r="AD347" s="77"/>
      <c r="AE347" s="77"/>
    </row>
    <row r="348" spans="1:31" x14ac:dyDescent="0.2">
      <c r="A348" s="76"/>
      <c r="B348" s="76"/>
      <c r="C348" s="76"/>
      <c r="D348" s="76"/>
      <c r="E348" s="76"/>
      <c r="F348" s="77"/>
      <c r="G348" s="77"/>
      <c r="H348" s="76"/>
      <c r="I348" s="76"/>
      <c r="J348" s="76"/>
      <c r="K348" s="76"/>
      <c r="L348" s="76"/>
      <c r="M348" s="76"/>
      <c r="N348" s="76"/>
      <c r="O348" s="76"/>
      <c r="P348" s="76"/>
      <c r="Q348" s="76"/>
      <c r="R348" s="76"/>
      <c r="S348" s="76"/>
      <c r="T348" s="76"/>
      <c r="U348" s="76"/>
      <c r="V348" s="76"/>
      <c r="W348" s="76"/>
      <c r="X348" s="76"/>
      <c r="Y348" s="76"/>
      <c r="Z348" s="76"/>
      <c r="AA348" s="76"/>
      <c r="AB348" s="76"/>
      <c r="AC348" s="76"/>
      <c r="AD348" s="77"/>
      <c r="AE348" s="77"/>
    </row>
    <row r="349" spans="1:31" x14ac:dyDescent="0.2">
      <c r="A349" s="76"/>
      <c r="B349" s="76"/>
      <c r="C349" s="76"/>
      <c r="D349" s="76"/>
      <c r="E349" s="76"/>
      <c r="F349" s="77"/>
      <c r="G349" s="77"/>
      <c r="H349" s="76"/>
      <c r="I349" s="76"/>
      <c r="J349" s="76"/>
      <c r="K349" s="76"/>
      <c r="L349" s="76"/>
      <c r="M349" s="76"/>
      <c r="N349" s="76"/>
      <c r="O349" s="76"/>
      <c r="P349" s="76"/>
      <c r="Q349" s="76"/>
      <c r="R349" s="76"/>
      <c r="S349" s="76"/>
      <c r="T349" s="76"/>
      <c r="U349" s="76"/>
      <c r="V349" s="76"/>
      <c r="W349" s="76"/>
      <c r="X349" s="76"/>
      <c r="Y349" s="76"/>
      <c r="Z349" s="76"/>
      <c r="AA349" s="76"/>
      <c r="AB349" s="76"/>
      <c r="AC349" s="76"/>
      <c r="AD349" s="77"/>
      <c r="AE349" s="77"/>
    </row>
    <row r="350" spans="1:31" x14ac:dyDescent="0.2">
      <c r="A350" s="76"/>
      <c r="B350" s="76"/>
      <c r="C350" s="76"/>
      <c r="D350" s="76"/>
      <c r="E350" s="76"/>
      <c r="F350" s="77"/>
      <c r="G350" s="77"/>
      <c r="H350" s="76"/>
      <c r="I350" s="76"/>
      <c r="J350" s="76"/>
      <c r="K350" s="76"/>
      <c r="L350" s="76"/>
      <c r="M350" s="76"/>
      <c r="N350" s="76"/>
      <c r="O350" s="76"/>
      <c r="P350" s="76"/>
      <c r="Q350" s="76"/>
      <c r="R350" s="76"/>
      <c r="S350" s="76"/>
      <c r="T350" s="76"/>
      <c r="U350" s="76"/>
      <c r="V350" s="76"/>
      <c r="W350" s="76"/>
      <c r="X350" s="76"/>
      <c r="Y350" s="76"/>
      <c r="Z350" s="76"/>
      <c r="AA350" s="76"/>
      <c r="AB350" s="76"/>
      <c r="AC350" s="76"/>
      <c r="AD350" s="77"/>
      <c r="AE350" s="77"/>
    </row>
    <row r="351" spans="1:31" x14ac:dyDescent="0.2">
      <c r="A351" s="76"/>
      <c r="B351" s="76"/>
      <c r="C351" s="76"/>
      <c r="D351" s="76"/>
      <c r="E351" s="76"/>
      <c r="F351" s="77"/>
      <c r="G351" s="77"/>
      <c r="H351" s="76"/>
      <c r="I351" s="76"/>
      <c r="J351" s="76"/>
      <c r="K351" s="76"/>
      <c r="L351" s="76"/>
      <c r="M351" s="76"/>
      <c r="N351" s="76"/>
      <c r="O351" s="76"/>
      <c r="P351" s="76"/>
      <c r="Q351" s="76"/>
      <c r="R351" s="76"/>
      <c r="S351" s="76"/>
      <c r="T351" s="76"/>
      <c r="U351" s="76"/>
      <c r="V351" s="76"/>
      <c r="W351" s="76"/>
      <c r="X351" s="76"/>
      <c r="Y351" s="76"/>
      <c r="Z351" s="76"/>
      <c r="AA351" s="76"/>
      <c r="AB351" s="76"/>
      <c r="AC351" s="76"/>
      <c r="AD351" s="77"/>
      <c r="AE351" s="77"/>
    </row>
    <row r="352" spans="1:31" x14ac:dyDescent="0.2">
      <c r="A352" s="76"/>
      <c r="B352" s="76"/>
      <c r="C352" s="76"/>
      <c r="D352" s="76"/>
      <c r="E352" s="76"/>
      <c r="F352" s="77"/>
      <c r="G352" s="77"/>
      <c r="H352" s="76"/>
      <c r="I352" s="76"/>
      <c r="J352" s="76"/>
      <c r="K352" s="76"/>
      <c r="L352" s="76"/>
      <c r="M352" s="76"/>
      <c r="N352" s="76"/>
      <c r="O352" s="76"/>
      <c r="P352" s="76"/>
      <c r="Q352" s="76"/>
      <c r="R352" s="76"/>
      <c r="S352" s="76"/>
      <c r="T352" s="76"/>
      <c r="U352" s="76"/>
      <c r="V352" s="76"/>
      <c r="W352" s="76"/>
      <c r="X352" s="76"/>
      <c r="Y352" s="76"/>
      <c r="Z352" s="76"/>
      <c r="AA352" s="76"/>
      <c r="AB352" s="76"/>
      <c r="AC352" s="76"/>
      <c r="AD352" s="77"/>
      <c r="AE352" s="77"/>
    </row>
    <row r="353" spans="1:31" x14ac:dyDescent="0.2">
      <c r="A353" s="76"/>
      <c r="B353" s="76"/>
      <c r="C353" s="76"/>
      <c r="D353" s="76"/>
      <c r="E353" s="76"/>
      <c r="F353" s="77"/>
      <c r="G353" s="77"/>
      <c r="H353" s="76"/>
      <c r="I353" s="76"/>
      <c r="J353" s="76"/>
      <c r="K353" s="76"/>
      <c r="L353" s="76"/>
      <c r="M353" s="76"/>
      <c r="N353" s="76"/>
      <c r="O353" s="76"/>
      <c r="P353" s="76"/>
      <c r="Q353" s="76"/>
      <c r="R353" s="76"/>
      <c r="S353" s="76"/>
      <c r="T353" s="76"/>
      <c r="U353" s="76"/>
      <c r="V353" s="76"/>
      <c r="W353" s="76"/>
      <c r="X353" s="76"/>
      <c r="Y353" s="76"/>
      <c r="Z353" s="76"/>
      <c r="AA353" s="76"/>
      <c r="AB353" s="76"/>
      <c r="AC353" s="76"/>
      <c r="AD353" s="77"/>
      <c r="AE353" s="77"/>
    </row>
    <row r="354" spans="1:31" x14ac:dyDescent="0.2">
      <c r="A354" s="76"/>
      <c r="B354" s="76"/>
      <c r="C354" s="76"/>
      <c r="D354" s="76"/>
      <c r="E354" s="76"/>
      <c r="F354" s="77"/>
      <c r="G354" s="77"/>
      <c r="H354" s="76"/>
      <c r="I354" s="76"/>
      <c r="J354" s="76"/>
      <c r="K354" s="76"/>
      <c r="L354" s="76"/>
      <c r="M354" s="76"/>
      <c r="N354" s="76"/>
      <c r="O354" s="76"/>
      <c r="P354" s="76"/>
      <c r="Q354" s="76"/>
      <c r="R354" s="76"/>
      <c r="S354" s="76"/>
      <c r="T354" s="76"/>
      <c r="U354" s="76"/>
      <c r="V354" s="76"/>
      <c r="W354" s="76"/>
      <c r="X354" s="76"/>
      <c r="Y354" s="76"/>
      <c r="Z354" s="76"/>
      <c r="AA354" s="76"/>
      <c r="AB354" s="76"/>
      <c r="AC354" s="76"/>
      <c r="AD354" s="77"/>
      <c r="AE354" s="77"/>
    </row>
    <row r="355" spans="1:31" x14ac:dyDescent="0.2">
      <c r="A355" s="76"/>
      <c r="B355" s="76"/>
      <c r="C355" s="76"/>
      <c r="D355" s="76"/>
      <c r="E355" s="76"/>
      <c r="F355" s="77"/>
      <c r="G355" s="77"/>
      <c r="H355" s="76"/>
      <c r="I355" s="76"/>
      <c r="J355" s="76"/>
      <c r="K355" s="76"/>
      <c r="L355" s="76"/>
      <c r="M355" s="76"/>
      <c r="N355" s="76"/>
      <c r="O355" s="76"/>
      <c r="P355" s="76"/>
      <c r="Q355" s="76"/>
      <c r="R355" s="76"/>
      <c r="S355" s="76"/>
      <c r="T355" s="76"/>
      <c r="U355" s="76"/>
      <c r="V355" s="76"/>
      <c r="W355" s="76"/>
      <c r="X355" s="76"/>
      <c r="Y355" s="76"/>
      <c r="Z355" s="76"/>
      <c r="AA355" s="76"/>
      <c r="AB355" s="76"/>
      <c r="AC355" s="76"/>
      <c r="AD355" s="77"/>
      <c r="AE355" s="77"/>
    </row>
    <row r="356" spans="1:31" x14ac:dyDescent="0.2">
      <c r="A356" s="76"/>
      <c r="B356" s="76"/>
      <c r="C356" s="76"/>
      <c r="D356" s="76"/>
      <c r="E356" s="76"/>
      <c r="F356" s="77"/>
      <c r="G356" s="77"/>
      <c r="H356" s="76"/>
      <c r="I356" s="76"/>
      <c r="J356" s="76"/>
      <c r="K356" s="76"/>
      <c r="L356" s="76"/>
      <c r="M356" s="76"/>
      <c r="N356" s="76"/>
      <c r="O356" s="76"/>
      <c r="P356" s="76"/>
      <c r="Q356" s="76"/>
      <c r="R356" s="76"/>
      <c r="S356" s="76"/>
      <c r="T356" s="76"/>
      <c r="U356" s="76"/>
      <c r="V356" s="76"/>
      <c r="W356" s="76"/>
      <c r="X356" s="76"/>
      <c r="Y356" s="76"/>
      <c r="Z356" s="76"/>
      <c r="AA356" s="76"/>
      <c r="AB356" s="76"/>
      <c r="AC356" s="76"/>
      <c r="AD356" s="77"/>
      <c r="AE356" s="77"/>
    </row>
    <row r="357" spans="1:31" x14ac:dyDescent="0.2">
      <c r="A357" s="76"/>
      <c r="B357" s="76"/>
      <c r="C357" s="76"/>
      <c r="D357" s="76"/>
      <c r="E357" s="76"/>
      <c r="F357" s="77"/>
      <c r="G357" s="77"/>
      <c r="H357" s="76"/>
      <c r="I357" s="76"/>
      <c r="J357" s="76"/>
      <c r="K357" s="76"/>
      <c r="L357" s="76"/>
      <c r="M357" s="76"/>
      <c r="N357" s="76"/>
      <c r="O357" s="76"/>
      <c r="P357" s="76"/>
      <c r="Q357" s="76"/>
      <c r="R357" s="76"/>
      <c r="S357" s="76"/>
      <c r="T357" s="76"/>
      <c r="U357" s="76"/>
      <c r="V357" s="76"/>
      <c r="W357" s="76"/>
      <c r="X357" s="76"/>
      <c r="Y357" s="76"/>
      <c r="Z357" s="76"/>
      <c r="AA357" s="76"/>
      <c r="AB357" s="76"/>
      <c r="AC357" s="76"/>
      <c r="AD357" s="77"/>
      <c r="AE357" s="77"/>
    </row>
    <row r="358" spans="1:31" x14ac:dyDescent="0.2">
      <c r="A358" s="76"/>
      <c r="B358" s="76"/>
      <c r="C358" s="76"/>
      <c r="D358" s="76"/>
      <c r="E358" s="76"/>
      <c r="F358" s="77"/>
      <c r="G358" s="77"/>
      <c r="H358" s="76"/>
      <c r="I358" s="76"/>
      <c r="J358" s="76"/>
      <c r="K358" s="76"/>
      <c r="L358" s="76"/>
      <c r="M358" s="76"/>
      <c r="N358" s="76"/>
      <c r="O358" s="76"/>
      <c r="P358" s="76"/>
      <c r="Q358" s="76"/>
      <c r="R358" s="76"/>
      <c r="S358" s="76"/>
      <c r="T358" s="76"/>
      <c r="U358" s="76"/>
      <c r="V358" s="76"/>
      <c r="W358" s="76"/>
      <c r="X358" s="76"/>
      <c r="Y358" s="76"/>
      <c r="Z358" s="76"/>
      <c r="AA358" s="76"/>
      <c r="AB358" s="76"/>
      <c r="AC358" s="76"/>
      <c r="AD358" s="77"/>
      <c r="AE358" s="77"/>
    </row>
    <row r="359" spans="1:31" x14ac:dyDescent="0.2">
      <c r="A359" s="76"/>
      <c r="B359" s="76"/>
      <c r="C359" s="76"/>
      <c r="D359" s="76"/>
      <c r="E359" s="76"/>
      <c r="F359" s="77"/>
      <c r="G359" s="77"/>
      <c r="H359" s="76"/>
      <c r="I359" s="76"/>
      <c r="J359" s="76"/>
      <c r="K359" s="76"/>
      <c r="L359" s="76"/>
      <c r="M359" s="76"/>
      <c r="N359" s="76"/>
      <c r="O359" s="76"/>
      <c r="P359" s="76"/>
      <c r="Q359" s="76"/>
      <c r="R359" s="76"/>
      <c r="S359" s="76"/>
      <c r="T359" s="76"/>
      <c r="U359" s="76"/>
      <c r="V359" s="76"/>
      <c r="W359" s="76"/>
      <c r="X359" s="76"/>
      <c r="Y359" s="76"/>
      <c r="Z359" s="76"/>
      <c r="AA359" s="76"/>
      <c r="AB359" s="76"/>
      <c r="AC359" s="76"/>
      <c r="AD359" s="77"/>
      <c r="AE359" s="77"/>
    </row>
    <row r="360" spans="1:31" x14ac:dyDescent="0.2">
      <c r="A360" s="76"/>
      <c r="B360" s="76"/>
      <c r="C360" s="76"/>
      <c r="D360" s="76"/>
      <c r="E360" s="76"/>
      <c r="F360" s="77"/>
      <c r="G360" s="77"/>
      <c r="H360" s="76"/>
      <c r="I360" s="76"/>
      <c r="J360" s="76"/>
      <c r="K360" s="76"/>
      <c r="L360" s="76"/>
      <c r="M360" s="76"/>
      <c r="N360" s="76"/>
      <c r="O360" s="76"/>
      <c r="P360" s="76"/>
      <c r="Q360" s="76"/>
      <c r="R360" s="76"/>
      <c r="S360" s="76"/>
      <c r="T360" s="76"/>
      <c r="U360" s="76"/>
      <c r="V360" s="76"/>
      <c r="W360" s="76"/>
      <c r="X360" s="76"/>
      <c r="Y360" s="76"/>
      <c r="Z360" s="76"/>
      <c r="AA360" s="76"/>
      <c r="AB360" s="76"/>
      <c r="AC360" s="76"/>
      <c r="AD360" s="77"/>
      <c r="AE360" s="77"/>
    </row>
    <row r="361" spans="1:31" x14ac:dyDescent="0.2">
      <c r="A361" s="76"/>
      <c r="B361" s="76"/>
      <c r="C361" s="76"/>
      <c r="D361" s="76"/>
      <c r="E361" s="76"/>
      <c r="F361" s="77"/>
      <c r="G361" s="77"/>
      <c r="H361" s="76"/>
      <c r="I361" s="76"/>
      <c r="J361" s="76"/>
      <c r="K361" s="76"/>
      <c r="L361" s="76"/>
      <c r="M361" s="76"/>
      <c r="N361" s="76"/>
      <c r="O361" s="76"/>
      <c r="P361" s="76"/>
      <c r="Q361" s="76"/>
      <c r="R361" s="76"/>
      <c r="S361" s="76"/>
      <c r="T361" s="76"/>
      <c r="U361" s="76"/>
      <c r="V361" s="76"/>
      <c r="W361" s="76"/>
      <c r="X361" s="76"/>
      <c r="Y361" s="76"/>
      <c r="Z361" s="76"/>
      <c r="AA361" s="76"/>
      <c r="AB361" s="76"/>
      <c r="AC361" s="76"/>
      <c r="AD361" s="77"/>
      <c r="AE361" s="77"/>
    </row>
    <row r="362" spans="1:31" x14ac:dyDescent="0.2">
      <c r="A362" s="76"/>
      <c r="B362" s="76"/>
      <c r="C362" s="76"/>
      <c r="D362" s="76"/>
      <c r="E362" s="76"/>
      <c r="F362" s="77"/>
      <c r="G362" s="77"/>
      <c r="H362" s="76"/>
      <c r="I362" s="76"/>
      <c r="J362" s="76"/>
      <c r="K362" s="76"/>
      <c r="L362" s="76"/>
      <c r="M362" s="76"/>
      <c r="N362" s="76"/>
      <c r="O362" s="76"/>
      <c r="P362" s="76"/>
      <c r="Q362" s="76"/>
      <c r="R362" s="76"/>
      <c r="S362" s="76"/>
      <c r="T362" s="76"/>
      <c r="U362" s="76"/>
      <c r="V362" s="76"/>
      <c r="W362" s="76"/>
      <c r="X362" s="76"/>
      <c r="Y362" s="76"/>
      <c r="Z362" s="76"/>
      <c r="AA362" s="76"/>
      <c r="AB362" s="76"/>
      <c r="AC362" s="76"/>
      <c r="AD362" s="77"/>
      <c r="AE362" s="77"/>
    </row>
    <row r="363" spans="1:31" x14ac:dyDescent="0.2">
      <c r="A363" s="76"/>
      <c r="B363" s="76"/>
      <c r="C363" s="76"/>
      <c r="D363" s="76"/>
      <c r="E363" s="76"/>
      <c r="F363" s="77"/>
      <c r="G363" s="77"/>
      <c r="H363" s="76"/>
      <c r="I363" s="76"/>
      <c r="J363" s="76"/>
      <c r="K363" s="76"/>
      <c r="L363" s="76"/>
      <c r="M363" s="76"/>
      <c r="N363" s="76"/>
      <c r="O363" s="76"/>
      <c r="P363" s="76"/>
      <c r="Q363" s="76"/>
      <c r="R363" s="76"/>
      <c r="S363" s="76"/>
      <c r="T363" s="76"/>
      <c r="U363" s="76"/>
      <c r="V363" s="76"/>
      <c r="W363" s="76"/>
      <c r="X363" s="76"/>
      <c r="Y363" s="76"/>
      <c r="Z363" s="76"/>
      <c r="AA363" s="76"/>
      <c r="AB363" s="76"/>
      <c r="AC363" s="76"/>
      <c r="AD363" s="77"/>
      <c r="AE363" s="77"/>
    </row>
    <row r="364" spans="1:31" x14ac:dyDescent="0.2">
      <c r="J364" s="33"/>
      <c r="R364" s="33"/>
      <c r="S364" s="33"/>
      <c r="T364" s="33"/>
      <c r="V364" s="33"/>
      <c r="W364" s="33"/>
      <c r="X364" s="33"/>
      <c r="Y364" s="33"/>
      <c r="Z364" s="33"/>
      <c r="AA364" s="33"/>
      <c r="AB364" s="33"/>
      <c r="AC364" s="33"/>
      <c r="AD364" s="33"/>
      <c r="AE364" s="33"/>
    </row>
    <row r="365" spans="1:31" x14ac:dyDescent="0.2">
      <c r="J365" s="33"/>
      <c r="R365" s="33"/>
      <c r="S365" s="33"/>
      <c r="T365" s="33"/>
      <c r="V365" s="33"/>
      <c r="W365" s="33"/>
      <c r="X365" s="33"/>
      <c r="Y365" s="33"/>
      <c r="Z365" s="33"/>
      <c r="AA365" s="33"/>
      <c r="AB365" s="33"/>
      <c r="AC365" s="33"/>
      <c r="AD365" s="33"/>
      <c r="AE365" s="33"/>
    </row>
    <row r="366" spans="1:31" x14ac:dyDescent="0.2">
      <c r="J366" s="33"/>
      <c r="R366" s="33"/>
      <c r="S366" s="33"/>
      <c r="T366" s="33"/>
      <c r="V366" s="33"/>
      <c r="W366" s="33"/>
      <c r="X366" s="33"/>
      <c r="Y366" s="33"/>
      <c r="Z366" s="33"/>
      <c r="AA366" s="33"/>
      <c r="AB366" s="33"/>
      <c r="AC366" s="33"/>
      <c r="AD366" s="33"/>
      <c r="AE366" s="33"/>
    </row>
    <row r="367" spans="1:31" x14ac:dyDescent="0.2">
      <c r="J367" s="33"/>
      <c r="R367" s="33"/>
      <c r="S367" s="33"/>
      <c r="T367" s="33"/>
      <c r="V367" s="33"/>
      <c r="W367" s="33"/>
      <c r="X367" s="33"/>
      <c r="Y367" s="33"/>
      <c r="Z367" s="33"/>
      <c r="AA367" s="33"/>
      <c r="AB367" s="33"/>
      <c r="AC367" s="33"/>
      <c r="AD367" s="33"/>
      <c r="AE367" s="33"/>
    </row>
    <row r="368" spans="1:31" x14ac:dyDescent="0.2">
      <c r="J368" s="33"/>
      <c r="R368" s="33"/>
      <c r="S368" s="33"/>
      <c r="T368" s="33"/>
      <c r="V368" s="33"/>
      <c r="W368" s="33"/>
      <c r="X368" s="33"/>
      <c r="Y368" s="33"/>
      <c r="Z368" s="33"/>
      <c r="AA368" s="33"/>
      <c r="AB368" s="33"/>
      <c r="AC368" s="33"/>
      <c r="AD368" s="33"/>
      <c r="AE368" s="33"/>
    </row>
    <row r="369" spans="10:31" x14ac:dyDescent="0.2">
      <c r="J369" s="33"/>
      <c r="R369" s="33"/>
      <c r="S369" s="33"/>
      <c r="T369" s="33"/>
      <c r="V369" s="33"/>
      <c r="W369" s="33"/>
      <c r="X369" s="33"/>
      <c r="Y369" s="33"/>
      <c r="Z369" s="33"/>
      <c r="AA369" s="33"/>
      <c r="AB369" s="33"/>
      <c r="AC369" s="33"/>
      <c r="AD369" s="33"/>
      <c r="AE369" s="33"/>
    </row>
    <row r="370" spans="10:31" x14ac:dyDescent="0.2">
      <c r="J370" s="33"/>
      <c r="R370" s="33"/>
      <c r="S370" s="33"/>
      <c r="T370" s="33"/>
      <c r="V370" s="33"/>
      <c r="W370" s="33"/>
      <c r="X370" s="33"/>
      <c r="Y370" s="33"/>
      <c r="Z370" s="33"/>
      <c r="AA370" s="33"/>
      <c r="AB370" s="33"/>
      <c r="AC370" s="33"/>
      <c r="AD370" s="33"/>
      <c r="AE370" s="33"/>
    </row>
    <row r="371" spans="10:31" x14ac:dyDescent="0.2">
      <c r="J371" s="33"/>
      <c r="R371" s="33"/>
      <c r="S371" s="33"/>
      <c r="T371" s="33"/>
      <c r="V371" s="33"/>
      <c r="W371" s="33"/>
      <c r="X371" s="33"/>
      <c r="Y371" s="33"/>
      <c r="Z371" s="33"/>
      <c r="AA371" s="33"/>
      <c r="AB371" s="33"/>
      <c r="AC371" s="33"/>
      <c r="AD371" s="33"/>
      <c r="AE371" s="33"/>
    </row>
    <row r="372" spans="10:31" x14ac:dyDescent="0.2">
      <c r="J372" s="33"/>
      <c r="R372" s="33"/>
      <c r="S372" s="33"/>
      <c r="T372" s="33"/>
      <c r="V372" s="33"/>
      <c r="W372" s="33"/>
      <c r="X372" s="33"/>
      <c r="Y372" s="33"/>
      <c r="Z372" s="33"/>
      <c r="AA372" s="33"/>
      <c r="AB372" s="33"/>
      <c r="AC372" s="33"/>
      <c r="AD372" s="33"/>
      <c r="AE372" s="33"/>
    </row>
    <row r="373" spans="10:31" x14ac:dyDescent="0.2">
      <c r="J373" s="33"/>
      <c r="R373" s="33"/>
      <c r="S373" s="33"/>
      <c r="T373" s="33"/>
      <c r="V373" s="33"/>
      <c r="W373" s="33"/>
      <c r="X373" s="33"/>
      <c r="Y373" s="33"/>
      <c r="Z373" s="33"/>
      <c r="AA373" s="33"/>
      <c r="AB373" s="33"/>
      <c r="AC373" s="33"/>
      <c r="AD373" s="33"/>
      <c r="AE373" s="33"/>
    </row>
    <row r="374" spans="10:31" x14ac:dyDescent="0.2">
      <c r="J374" s="33"/>
      <c r="R374" s="33"/>
      <c r="S374" s="33"/>
      <c r="T374" s="33"/>
      <c r="V374" s="33"/>
      <c r="W374" s="33"/>
      <c r="X374" s="33"/>
      <c r="Y374" s="33"/>
      <c r="Z374" s="33"/>
      <c r="AA374" s="33"/>
      <c r="AB374" s="33"/>
      <c r="AC374" s="33"/>
      <c r="AD374" s="33"/>
      <c r="AE374" s="33"/>
    </row>
    <row r="375" spans="10:31" x14ac:dyDescent="0.2">
      <c r="J375" s="33"/>
      <c r="R375" s="33"/>
      <c r="S375" s="33"/>
      <c r="T375" s="33"/>
      <c r="V375" s="33"/>
      <c r="W375" s="33"/>
      <c r="X375" s="33"/>
      <c r="Y375" s="33"/>
      <c r="Z375" s="33"/>
      <c r="AA375" s="33"/>
      <c r="AB375" s="33"/>
      <c r="AC375" s="33"/>
      <c r="AD375" s="33"/>
      <c r="AE375" s="33"/>
    </row>
    <row r="376" spans="10:31" x14ac:dyDescent="0.2">
      <c r="J376" s="33"/>
      <c r="R376" s="33"/>
      <c r="S376" s="33"/>
      <c r="T376" s="33"/>
      <c r="V376" s="33"/>
      <c r="W376" s="33"/>
      <c r="X376" s="33"/>
      <c r="Y376" s="33"/>
      <c r="Z376" s="33"/>
      <c r="AA376" s="33"/>
      <c r="AB376" s="33"/>
      <c r="AC376" s="33"/>
      <c r="AD376" s="33"/>
      <c r="AE376" s="33"/>
    </row>
    <row r="377" spans="10:31" x14ac:dyDescent="0.2">
      <c r="J377" s="33"/>
      <c r="R377" s="33"/>
      <c r="S377" s="33"/>
      <c r="T377" s="33"/>
      <c r="V377" s="33"/>
      <c r="W377" s="33"/>
      <c r="X377" s="33"/>
      <c r="Y377" s="33"/>
      <c r="Z377" s="33"/>
      <c r="AA377" s="33"/>
      <c r="AB377" s="33"/>
      <c r="AC377" s="33"/>
      <c r="AD377" s="33"/>
      <c r="AE377" s="33"/>
    </row>
    <row r="378" spans="10:31" x14ac:dyDescent="0.2">
      <c r="J378" s="33"/>
      <c r="R378" s="33"/>
      <c r="S378" s="33"/>
      <c r="T378" s="33"/>
      <c r="V378" s="33"/>
      <c r="W378" s="33"/>
      <c r="X378" s="33"/>
      <c r="Y378" s="33"/>
      <c r="Z378" s="33"/>
      <c r="AA378" s="33"/>
      <c r="AB378" s="33"/>
      <c r="AC378" s="33"/>
      <c r="AD378" s="33"/>
      <c r="AE378" s="33"/>
    </row>
    <row r="379" spans="10:31" x14ac:dyDescent="0.2">
      <c r="J379" s="33"/>
      <c r="R379" s="33"/>
      <c r="S379" s="33"/>
      <c r="T379" s="33"/>
      <c r="V379" s="33"/>
      <c r="W379" s="33"/>
      <c r="X379" s="33"/>
      <c r="Y379" s="33"/>
      <c r="Z379" s="33"/>
      <c r="AA379" s="33"/>
      <c r="AB379" s="33"/>
      <c r="AC379" s="33"/>
      <c r="AD379" s="33"/>
      <c r="AE379" s="33"/>
    </row>
    <row r="380" spans="10:31" x14ac:dyDescent="0.2">
      <c r="J380" s="33"/>
      <c r="R380" s="33"/>
      <c r="S380" s="33"/>
      <c r="T380" s="33"/>
      <c r="V380" s="33"/>
      <c r="W380" s="33"/>
      <c r="X380" s="33"/>
      <c r="Y380" s="33"/>
      <c r="Z380" s="33"/>
      <c r="AA380" s="33"/>
      <c r="AB380" s="33"/>
      <c r="AC380" s="33"/>
      <c r="AD380" s="33"/>
      <c r="AE380" s="33"/>
    </row>
    <row r="381" spans="10:31" x14ac:dyDescent="0.2">
      <c r="J381" s="33"/>
      <c r="R381" s="33"/>
      <c r="S381" s="33"/>
      <c r="T381" s="33"/>
      <c r="V381" s="33"/>
      <c r="W381" s="33"/>
      <c r="X381" s="33"/>
      <c r="Y381" s="33"/>
      <c r="Z381" s="33"/>
      <c r="AA381" s="33"/>
      <c r="AB381" s="33"/>
      <c r="AC381" s="33"/>
      <c r="AD381" s="33"/>
      <c r="AE381" s="33"/>
    </row>
    <row r="382" spans="10:31" x14ac:dyDescent="0.2">
      <c r="J382" s="33"/>
      <c r="R382" s="33"/>
      <c r="S382" s="33"/>
      <c r="T382" s="33"/>
      <c r="V382" s="33"/>
      <c r="W382" s="33"/>
      <c r="X382" s="33"/>
      <c r="Y382" s="33"/>
      <c r="Z382" s="33"/>
      <c r="AA382" s="33"/>
      <c r="AB382" s="33"/>
      <c r="AC382" s="33"/>
      <c r="AD382" s="33"/>
      <c r="AE382" s="33"/>
    </row>
    <row r="383" spans="10:31" x14ac:dyDescent="0.2">
      <c r="J383" s="33"/>
      <c r="R383" s="33"/>
      <c r="S383" s="33"/>
      <c r="T383" s="33"/>
      <c r="V383" s="33"/>
      <c r="W383" s="33"/>
      <c r="X383" s="33"/>
      <c r="Y383" s="33"/>
      <c r="Z383" s="33"/>
      <c r="AA383" s="33"/>
      <c r="AB383" s="33"/>
      <c r="AC383" s="33"/>
      <c r="AD383" s="33"/>
      <c r="AE383" s="33"/>
    </row>
    <row r="384" spans="10:31" x14ac:dyDescent="0.2">
      <c r="J384" s="33"/>
      <c r="R384" s="33"/>
      <c r="S384" s="33"/>
      <c r="T384" s="33"/>
      <c r="V384" s="33"/>
      <c r="W384" s="33"/>
      <c r="X384" s="33"/>
      <c r="Y384" s="33"/>
      <c r="Z384" s="33"/>
      <c r="AA384" s="33"/>
      <c r="AB384" s="33"/>
      <c r="AC384" s="33"/>
      <c r="AD384" s="33"/>
      <c r="AE384" s="33"/>
    </row>
    <row r="385" spans="10:31" x14ac:dyDescent="0.2">
      <c r="J385" s="33"/>
      <c r="R385" s="33"/>
      <c r="S385" s="33"/>
      <c r="T385" s="33"/>
      <c r="V385" s="33"/>
      <c r="W385" s="33"/>
      <c r="X385" s="33"/>
      <c r="Y385" s="33"/>
      <c r="Z385" s="33"/>
      <c r="AA385" s="33"/>
      <c r="AB385" s="33"/>
      <c r="AC385" s="33"/>
      <c r="AD385" s="33"/>
      <c r="AE385" s="33"/>
    </row>
    <row r="386" spans="10:31" x14ac:dyDescent="0.2">
      <c r="J386" s="33"/>
      <c r="R386" s="33"/>
      <c r="S386" s="33"/>
      <c r="T386" s="33"/>
      <c r="V386" s="33"/>
      <c r="W386" s="33"/>
      <c r="X386" s="33"/>
      <c r="Y386" s="33"/>
      <c r="Z386" s="33"/>
      <c r="AA386" s="33"/>
      <c r="AB386" s="33"/>
      <c r="AC386" s="33"/>
      <c r="AD386" s="33"/>
      <c r="AE386" s="33"/>
    </row>
    <row r="387" spans="10:31" x14ac:dyDescent="0.2">
      <c r="J387" s="33"/>
      <c r="R387" s="33"/>
      <c r="S387" s="33"/>
      <c r="T387" s="33"/>
      <c r="V387" s="33"/>
      <c r="W387" s="33"/>
      <c r="X387" s="33"/>
      <c r="Y387" s="33"/>
      <c r="Z387" s="33"/>
      <c r="AA387" s="33"/>
      <c r="AB387" s="33"/>
      <c r="AC387" s="33"/>
      <c r="AD387" s="33"/>
      <c r="AE387" s="33"/>
    </row>
    <row r="388" spans="10:31" x14ac:dyDescent="0.2">
      <c r="J388" s="33"/>
      <c r="R388" s="33"/>
      <c r="S388" s="33"/>
      <c r="T388" s="33"/>
      <c r="V388" s="33"/>
      <c r="W388" s="33"/>
      <c r="X388" s="33"/>
      <c r="Y388" s="33"/>
      <c r="Z388" s="33"/>
      <c r="AA388" s="33"/>
      <c r="AB388" s="33"/>
      <c r="AC388" s="33"/>
      <c r="AD388" s="33"/>
      <c r="AE388" s="33"/>
    </row>
    <row r="389" spans="10:31" x14ac:dyDescent="0.2">
      <c r="J389" s="33"/>
      <c r="R389" s="33"/>
      <c r="S389" s="33"/>
      <c r="T389" s="33"/>
      <c r="V389" s="33"/>
      <c r="W389" s="33"/>
      <c r="X389" s="33"/>
      <c r="Y389" s="33"/>
      <c r="Z389" s="33"/>
      <c r="AA389" s="33"/>
      <c r="AB389" s="33"/>
      <c r="AC389" s="33"/>
      <c r="AD389" s="33"/>
      <c r="AE389" s="33"/>
    </row>
    <row r="390" spans="10:31" x14ac:dyDescent="0.2">
      <c r="J390" s="33"/>
      <c r="R390" s="33"/>
      <c r="S390" s="33"/>
      <c r="T390" s="33"/>
      <c r="V390" s="33"/>
      <c r="W390" s="33"/>
      <c r="X390" s="33"/>
      <c r="Y390" s="33"/>
      <c r="Z390" s="33"/>
      <c r="AA390" s="33"/>
      <c r="AB390" s="33"/>
      <c r="AC390" s="33"/>
      <c r="AD390" s="33"/>
      <c r="AE390" s="33"/>
    </row>
    <row r="391" spans="10:31" x14ac:dyDescent="0.2">
      <c r="J391" s="33"/>
      <c r="R391" s="33"/>
      <c r="S391" s="33"/>
      <c r="T391" s="33"/>
      <c r="V391" s="33"/>
      <c r="W391" s="33"/>
      <c r="X391" s="33"/>
      <c r="Y391" s="33"/>
      <c r="Z391" s="33"/>
      <c r="AA391" s="33"/>
      <c r="AB391" s="33"/>
      <c r="AC391" s="33"/>
      <c r="AD391" s="33"/>
      <c r="AE391" s="33"/>
    </row>
    <row r="392" spans="10:31" x14ac:dyDescent="0.2">
      <c r="J392" s="33"/>
      <c r="R392" s="33"/>
      <c r="S392" s="33"/>
      <c r="T392" s="33"/>
      <c r="V392" s="33"/>
      <c r="W392" s="33"/>
      <c r="X392" s="33"/>
      <c r="Y392" s="33"/>
      <c r="Z392" s="33"/>
      <c r="AA392" s="33"/>
      <c r="AB392" s="33"/>
      <c r="AC392" s="33"/>
      <c r="AD392" s="33"/>
      <c r="AE392" s="33"/>
    </row>
    <row r="393" spans="10:31" x14ac:dyDescent="0.2">
      <c r="J393" s="33"/>
      <c r="R393" s="33"/>
      <c r="S393" s="33"/>
      <c r="T393" s="33"/>
      <c r="V393" s="33"/>
      <c r="W393" s="33"/>
      <c r="X393" s="33"/>
      <c r="Y393" s="33"/>
      <c r="Z393" s="33"/>
      <c r="AA393" s="33"/>
      <c r="AB393" s="33"/>
      <c r="AC393" s="33"/>
      <c r="AD393" s="33"/>
      <c r="AE393" s="33"/>
    </row>
    <row r="394" spans="10:31" x14ac:dyDescent="0.2">
      <c r="J394" s="33"/>
      <c r="R394" s="33"/>
      <c r="S394" s="33"/>
      <c r="T394" s="33"/>
      <c r="V394" s="33"/>
      <c r="W394" s="33"/>
      <c r="X394" s="33"/>
      <c r="Y394" s="33"/>
      <c r="Z394" s="33"/>
      <c r="AA394" s="33"/>
      <c r="AB394" s="33"/>
      <c r="AC394" s="33"/>
      <c r="AD394" s="33"/>
      <c r="AE394" s="33"/>
    </row>
    <row r="395" spans="10:31" x14ac:dyDescent="0.2">
      <c r="J395" s="33"/>
      <c r="R395" s="33"/>
      <c r="S395" s="33"/>
      <c r="T395" s="33"/>
      <c r="V395" s="33"/>
      <c r="W395" s="33"/>
      <c r="X395" s="33"/>
      <c r="Y395" s="33"/>
      <c r="Z395" s="33"/>
      <c r="AA395" s="33"/>
      <c r="AB395" s="33"/>
      <c r="AC395" s="33"/>
      <c r="AD395" s="33"/>
      <c r="AE395" s="33"/>
    </row>
    <row r="396" spans="10:31" x14ac:dyDescent="0.2">
      <c r="J396" s="33"/>
      <c r="R396" s="33"/>
      <c r="S396" s="33"/>
      <c r="T396" s="33"/>
      <c r="V396" s="33"/>
      <c r="W396" s="33"/>
      <c r="X396" s="33"/>
      <c r="Y396" s="33"/>
      <c r="Z396" s="33"/>
      <c r="AA396" s="33"/>
      <c r="AB396" s="33"/>
      <c r="AC396" s="33"/>
      <c r="AD396" s="33"/>
      <c r="AE396" s="33"/>
    </row>
    <row r="397" spans="10:31" x14ac:dyDescent="0.2">
      <c r="J397" s="33"/>
      <c r="R397" s="33"/>
      <c r="S397" s="33"/>
      <c r="T397" s="33"/>
      <c r="V397" s="33"/>
      <c r="W397" s="33"/>
      <c r="X397" s="33"/>
      <c r="Y397" s="33"/>
      <c r="Z397" s="33"/>
      <c r="AA397" s="33"/>
      <c r="AB397" s="33"/>
      <c r="AC397" s="33"/>
      <c r="AD397" s="33"/>
      <c r="AE397" s="33"/>
    </row>
    <row r="398" spans="10:31" x14ac:dyDescent="0.2">
      <c r="J398" s="33"/>
      <c r="R398" s="33"/>
      <c r="S398" s="33"/>
      <c r="T398" s="33"/>
      <c r="V398" s="33"/>
      <c r="W398" s="33"/>
      <c r="X398" s="33"/>
      <c r="Y398" s="33"/>
      <c r="Z398" s="33"/>
      <c r="AA398" s="33"/>
      <c r="AB398" s="33"/>
      <c r="AC398" s="33"/>
      <c r="AD398" s="33"/>
      <c r="AE398" s="33"/>
    </row>
    <row r="399" spans="10:31" x14ac:dyDescent="0.2">
      <c r="J399" s="33"/>
      <c r="R399" s="33"/>
      <c r="S399" s="33"/>
      <c r="T399" s="33"/>
      <c r="V399" s="33"/>
      <c r="W399" s="33"/>
      <c r="X399" s="33"/>
      <c r="Y399" s="33"/>
      <c r="Z399" s="33"/>
      <c r="AA399" s="33"/>
      <c r="AB399" s="33"/>
      <c r="AC399" s="33"/>
      <c r="AD399" s="33"/>
      <c r="AE399" s="33"/>
    </row>
    <row r="400" spans="10:31" x14ac:dyDescent="0.2">
      <c r="J400" s="33"/>
      <c r="R400" s="33"/>
      <c r="S400" s="33"/>
      <c r="T400" s="33"/>
      <c r="V400" s="33"/>
      <c r="W400" s="33"/>
      <c r="X400" s="33"/>
      <c r="Y400" s="33"/>
      <c r="Z400" s="33"/>
      <c r="AA400" s="33"/>
      <c r="AB400" s="33"/>
      <c r="AC400" s="33"/>
      <c r="AD400" s="33"/>
      <c r="AE400" s="33"/>
    </row>
    <row r="401" spans="10:31" x14ac:dyDescent="0.2">
      <c r="J401" s="33"/>
      <c r="R401" s="33"/>
      <c r="S401" s="33"/>
      <c r="T401" s="33"/>
      <c r="V401" s="33"/>
      <c r="W401" s="33"/>
      <c r="X401" s="33"/>
      <c r="Y401" s="33"/>
      <c r="Z401" s="33"/>
      <c r="AA401" s="33"/>
      <c r="AB401" s="33"/>
      <c r="AC401" s="33"/>
      <c r="AD401" s="33"/>
      <c r="AE401" s="33"/>
    </row>
    <row r="402" spans="10:31" x14ac:dyDescent="0.2">
      <c r="J402" s="33"/>
      <c r="R402" s="33"/>
      <c r="S402" s="33"/>
      <c r="T402" s="33"/>
      <c r="V402" s="33"/>
      <c r="W402" s="33"/>
      <c r="X402" s="33"/>
      <c r="Y402" s="33"/>
      <c r="Z402" s="33"/>
      <c r="AA402" s="33"/>
      <c r="AB402" s="33"/>
      <c r="AC402" s="33"/>
      <c r="AD402" s="33"/>
      <c r="AE402" s="33"/>
    </row>
    <row r="403" spans="10:31" x14ac:dyDescent="0.2">
      <c r="J403" s="33"/>
      <c r="R403" s="33"/>
      <c r="S403" s="33"/>
      <c r="T403" s="33"/>
      <c r="V403" s="33"/>
      <c r="W403" s="33"/>
      <c r="X403" s="33"/>
      <c r="Y403" s="33"/>
      <c r="Z403" s="33"/>
      <c r="AA403" s="33"/>
      <c r="AB403" s="33"/>
      <c r="AC403" s="33"/>
      <c r="AD403" s="33"/>
      <c r="AE403" s="33"/>
    </row>
    <row r="404" spans="10:31" x14ac:dyDescent="0.2">
      <c r="J404" s="33"/>
      <c r="R404" s="33"/>
      <c r="S404" s="33"/>
      <c r="T404" s="33"/>
      <c r="V404" s="33"/>
      <c r="W404" s="33"/>
      <c r="X404" s="33"/>
      <c r="Y404" s="33"/>
      <c r="Z404" s="33"/>
      <c r="AA404" s="33"/>
      <c r="AB404" s="33"/>
      <c r="AC404" s="33"/>
      <c r="AD404" s="33"/>
      <c r="AE404" s="33"/>
    </row>
    <row r="405" spans="10:31" x14ac:dyDescent="0.2">
      <c r="J405" s="33"/>
      <c r="R405" s="33"/>
      <c r="S405" s="33"/>
      <c r="T405" s="33"/>
      <c r="V405" s="33"/>
      <c r="W405" s="33"/>
      <c r="X405" s="33"/>
      <c r="Y405" s="33"/>
      <c r="Z405" s="33"/>
      <c r="AA405" s="33"/>
      <c r="AB405" s="33"/>
      <c r="AC405" s="33"/>
      <c r="AD405" s="33"/>
      <c r="AE405" s="33"/>
    </row>
    <row r="406" spans="10:31" x14ac:dyDescent="0.2">
      <c r="J406" s="33"/>
      <c r="R406" s="33"/>
      <c r="S406" s="33"/>
      <c r="T406" s="33"/>
      <c r="V406" s="33"/>
      <c r="W406" s="33"/>
      <c r="X406" s="33"/>
      <c r="Y406" s="33"/>
      <c r="Z406" s="33"/>
      <c r="AA406" s="33"/>
      <c r="AB406" s="33"/>
      <c r="AC406" s="33"/>
      <c r="AD406" s="33"/>
      <c r="AE406" s="33"/>
    </row>
    <row r="407" spans="10:31" x14ac:dyDescent="0.2">
      <c r="J407" s="33"/>
      <c r="R407" s="33"/>
      <c r="S407" s="33"/>
      <c r="T407" s="33"/>
      <c r="V407" s="33"/>
      <c r="W407" s="33"/>
      <c r="X407" s="33"/>
      <c r="Y407" s="33"/>
      <c r="Z407" s="33"/>
      <c r="AA407" s="33"/>
      <c r="AB407" s="33"/>
      <c r="AC407" s="33"/>
      <c r="AD407" s="33"/>
      <c r="AE407" s="33"/>
    </row>
    <row r="408" spans="10:31" x14ac:dyDescent="0.2">
      <c r="J408" s="33"/>
      <c r="R408" s="33"/>
      <c r="S408" s="33"/>
      <c r="T408" s="33"/>
      <c r="V408" s="33"/>
      <c r="W408" s="33"/>
      <c r="X408" s="33"/>
      <c r="Y408" s="33"/>
      <c r="Z408" s="33"/>
      <c r="AA408" s="33"/>
      <c r="AB408" s="33"/>
      <c r="AC408" s="33"/>
      <c r="AD408" s="33"/>
      <c r="AE408" s="33"/>
    </row>
    <row r="409" spans="10:31" x14ac:dyDescent="0.2">
      <c r="J409" s="33"/>
      <c r="R409" s="33"/>
      <c r="S409" s="33"/>
      <c r="T409" s="33"/>
      <c r="V409" s="33"/>
      <c r="W409" s="33"/>
      <c r="X409" s="33"/>
      <c r="Y409" s="33"/>
      <c r="Z409" s="33"/>
      <c r="AA409" s="33"/>
      <c r="AB409" s="33"/>
      <c r="AC409" s="33"/>
      <c r="AD409" s="33"/>
      <c r="AE409" s="33"/>
    </row>
    <row r="410" spans="10:31" x14ac:dyDescent="0.2">
      <c r="J410" s="33"/>
      <c r="R410" s="33"/>
      <c r="S410" s="33"/>
      <c r="T410" s="33"/>
      <c r="V410" s="33"/>
      <c r="W410" s="33"/>
      <c r="X410" s="33"/>
      <c r="Y410" s="33"/>
      <c r="Z410" s="33"/>
      <c r="AA410" s="33"/>
      <c r="AB410" s="33"/>
      <c r="AC410" s="33"/>
      <c r="AD410" s="33"/>
      <c r="AE410" s="33"/>
    </row>
    <row r="411" spans="10:31" x14ac:dyDescent="0.2">
      <c r="J411" s="33"/>
      <c r="R411" s="33"/>
      <c r="S411" s="33"/>
      <c r="T411" s="33"/>
      <c r="V411" s="33"/>
      <c r="W411" s="33"/>
      <c r="X411" s="33"/>
      <c r="Y411" s="33"/>
      <c r="Z411" s="33"/>
      <c r="AA411" s="33"/>
      <c r="AB411" s="33"/>
      <c r="AC411" s="33"/>
      <c r="AD411" s="33"/>
      <c r="AE411" s="33"/>
    </row>
    <row r="412" spans="10:31" x14ac:dyDescent="0.2">
      <c r="J412" s="33"/>
      <c r="R412" s="33"/>
      <c r="S412" s="33"/>
      <c r="T412" s="33"/>
      <c r="V412" s="33"/>
      <c r="W412" s="33"/>
      <c r="X412" s="33"/>
      <c r="Y412" s="33"/>
      <c r="Z412" s="33"/>
      <c r="AA412" s="33"/>
      <c r="AB412" s="33"/>
      <c r="AC412" s="33"/>
      <c r="AD412" s="33"/>
      <c r="AE412" s="33"/>
    </row>
    <row r="413" spans="10:31" x14ac:dyDescent="0.2">
      <c r="J413" s="33"/>
      <c r="R413" s="33"/>
      <c r="S413" s="33"/>
      <c r="T413" s="33"/>
      <c r="V413" s="33"/>
      <c r="W413" s="33"/>
      <c r="X413" s="33"/>
      <c r="Y413" s="33"/>
      <c r="Z413" s="33"/>
      <c r="AA413" s="33"/>
      <c r="AB413" s="33"/>
      <c r="AC413" s="33"/>
      <c r="AD413" s="33"/>
      <c r="AE413" s="33"/>
    </row>
    <row r="414" spans="10:31" x14ac:dyDescent="0.2">
      <c r="J414" s="33"/>
      <c r="R414" s="33"/>
      <c r="S414" s="33"/>
      <c r="T414" s="33"/>
      <c r="V414" s="33"/>
      <c r="W414" s="33"/>
      <c r="X414" s="33"/>
      <c r="Y414" s="33"/>
      <c r="Z414" s="33"/>
      <c r="AA414" s="33"/>
      <c r="AB414" s="33"/>
      <c r="AC414" s="33"/>
      <c r="AD414" s="33"/>
      <c r="AE414" s="33"/>
    </row>
    <row r="415" spans="10:31" x14ac:dyDescent="0.2">
      <c r="J415" s="33"/>
      <c r="R415" s="33"/>
      <c r="S415" s="33"/>
      <c r="T415" s="33"/>
      <c r="V415" s="33"/>
      <c r="W415" s="33"/>
      <c r="X415" s="33"/>
      <c r="Y415" s="33"/>
      <c r="Z415" s="33"/>
      <c r="AA415" s="33"/>
      <c r="AB415" s="33"/>
      <c r="AC415" s="33"/>
      <c r="AD415" s="33"/>
      <c r="AE415" s="33"/>
    </row>
    <row r="416" spans="10:31" x14ac:dyDescent="0.2">
      <c r="J416" s="33"/>
      <c r="R416" s="33"/>
      <c r="S416" s="33"/>
      <c r="T416" s="33"/>
      <c r="V416" s="33"/>
      <c r="W416" s="33"/>
      <c r="X416" s="33"/>
      <c r="Y416" s="33"/>
      <c r="Z416" s="33"/>
      <c r="AA416" s="33"/>
      <c r="AB416" s="33"/>
      <c r="AC416" s="33"/>
      <c r="AD416" s="33"/>
      <c r="AE416" s="33"/>
    </row>
    <row r="417" spans="10:31" x14ac:dyDescent="0.2">
      <c r="J417" s="33"/>
      <c r="R417" s="33"/>
      <c r="S417" s="33"/>
      <c r="T417" s="33"/>
      <c r="V417" s="33"/>
      <c r="W417" s="33"/>
      <c r="X417" s="33"/>
      <c r="Y417" s="33"/>
      <c r="Z417" s="33"/>
      <c r="AA417" s="33"/>
      <c r="AB417" s="33"/>
      <c r="AC417" s="33"/>
      <c r="AD417" s="33"/>
      <c r="AE417" s="33"/>
    </row>
    <row r="418" spans="10:31" x14ac:dyDescent="0.2">
      <c r="J418" s="33"/>
      <c r="R418" s="33"/>
      <c r="S418" s="33"/>
      <c r="T418" s="33"/>
      <c r="V418" s="33"/>
      <c r="W418" s="33"/>
      <c r="X418" s="33"/>
      <c r="Y418" s="33"/>
      <c r="Z418" s="33"/>
      <c r="AA418" s="33"/>
      <c r="AB418" s="33"/>
      <c r="AC418" s="33"/>
      <c r="AD418" s="33"/>
      <c r="AE418" s="33"/>
    </row>
    <row r="419" spans="10:31" x14ac:dyDescent="0.2">
      <c r="J419" s="33"/>
      <c r="R419" s="33"/>
      <c r="S419" s="33"/>
      <c r="T419" s="33"/>
      <c r="V419" s="33"/>
      <c r="W419" s="33"/>
      <c r="X419" s="33"/>
      <c r="Y419" s="33"/>
      <c r="Z419" s="33"/>
      <c r="AA419" s="33"/>
      <c r="AB419" s="33"/>
      <c r="AC419" s="33"/>
      <c r="AD419" s="33"/>
      <c r="AE419" s="33"/>
    </row>
    <row r="420" spans="10:31" x14ac:dyDescent="0.2">
      <c r="J420" s="33"/>
      <c r="R420" s="33"/>
      <c r="S420" s="33"/>
      <c r="T420" s="33"/>
      <c r="V420" s="33"/>
      <c r="W420" s="33"/>
      <c r="X420" s="33"/>
      <c r="Y420" s="33"/>
      <c r="Z420" s="33"/>
      <c r="AA420" s="33"/>
      <c r="AB420" s="33"/>
      <c r="AC420" s="33"/>
      <c r="AD420" s="33"/>
      <c r="AE420" s="33"/>
    </row>
    <row r="421" spans="10:31" x14ac:dyDescent="0.2">
      <c r="J421" s="33"/>
      <c r="R421" s="33"/>
      <c r="S421" s="33"/>
      <c r="T421" s="33"/>
      <c r="V421" s="33"/>
      <c r="W421" s="33"/>
      <c r="X421" s="33"/>
      <c r="Y421" s="33"/>
      <c r="Z421" s="33"/>
      <c r="AA421" s="33"/>
      <c r="AB421" s="33"/>
      <c r="AC421" s="33"/>
      <c r="AD421" s="33"/>
      <c r="AE421" s="33"/>
    </row>
    <row r="422" spans="10:31" x14ac:dyDescent="0.2">
      <c r="J422" s="33"/>
      <c r="R422" s="33"/>
      <c r="S422" s="33"/>
      <c r="T422" s="33"/>
      <c r="V422" s="33"/>
      <c r="W422" s="33"/>
      <c r="X422" s="33"/>
      <c r="Y422" s="33"/>
      <c r="Z422" s="33"/>
      <c r="AA422" s="33"/>
      <c r="AB422" s="33"/>
      <c r="AC422" s="33"/>
      <c r="AD422" s="33"/>
      <c r="AE422" s="33"/>
    </row>
    <row r="423" spans="10:31" x14ac:dyDescent="0.2">
      <c r="J423" s="33"/>
      <c r="R423" s="33"/>
      <c r="S423" s="33"/>
      <c r="T423" s="33"/>
      <c r="V423" s="33"/>
      <c r="W423" s="33"/>
      <c r="X423" s="33"/>
      <c r="Y423" s="33"/>
      <c r="Z423" s="33"/>
      <c r="AA423" s="33"/>
      <c r="AB423" s="33"/>
      <c r="AC423" s="33"/>
      <c r="AD423" s="33"/>
      <c r="AE423" s="33"/>
    </row>
    <row r="424" spans="10:31" x14ac:dyDescent="0.2">
      <c r="J424" s="33"/>
      <c r="R424" s="33"/>
      <c r="S424" s="33"/>
      <c r="T424" s="33"/>
      <c r="V424" s="33"/>
      <c r="W424" s="33"/>
      <c r="X424" s="33"/>
      <c r="Y424" s="33"/>
      <c r="Z424" s="33"/>
      <c r="AA424" s="33"/>
      <c r="AB424" s="33"/>
      <c r="AC424" s="33"/>
      <c r="AD424" s="33"/>
      <c r="AE424" s="33"/>
    </row>
    <row r="425" spans="10:31" x14ac:dyDescent="0.2">
      <c r="J425" s="33"/>
      <c r="R425" s="33"/>
      <c r="S425" s="33"/>
      <c r="T425" s="33"/>
      <c r="V425" s="33"/>
      <c r="W425" s="33"/>
      <c r="X425" s="33"/>
      <c r="Y425" s="33"/>
      <c r="Z425" s="33"/>
      <c r="AA425" s="33"/>
      <c r="AB425" s="33"/>
      <c r="AC425" s="33"/>
      <c r="AD425" s="33"/>
      <c r="AE425" s="33"/>
    </row>
    <row r="426" spans="10:31" x14ac:dyDescent="0.2">
      <c r="J426" s="33"/>
      <c r="R426" s="33"/>
      <c r="S426" s="33"/>
      <c r="T426" s="33"/>
      <c r="V426" s="33"/>
      <c r="W426" s="33"/>
      <c r="X426" s="33"/>
      <c r="Y426" s="33"/>
      <c r="Z426" s="33"/>
      <c r="AA426" s="33"/>
      <c r="AB426" s="33"/>
      <c r="AC426" s="33"/>
      <c r="AD426" s="33"/>
      <c r="AE426" s="33"/>
    </row>
    <row r="427" spans="10:31" x14ac:dyDescent="0.2">
      <c r="J427" s="33"/>
      <c r="R427" s="33"/>
      <c r="S427" s="33"/>
      <c r="T427" s="33"/>
      <c r="V427" s="33"/>
      <c r="W427" s="33"/>
      <c r="X427" s="33"/>
      <c r="Y427" s="33"/>
      <c r="Z427" s="33"/>
      <c r="AA427" s="33"/>
      <c r="AB427" s="33"/>
      <c r="AC427" s="33"/>
      <c r="AD427" s="33"/>
      <c r="AE427" s="33"/>
    </row>
    <row r="428" spans="10:31" x14ac:dyDescent="0.2">
      <c r="J428" s="33"/>
      <c r="R428" s="33"/>
      <c r="S428" s="33"/>
      <c r="T428" s="33"/>
      <c r="V428" s="33"/>
      <c r="W428" s="33"/>
      <c r="X428" s="33"/>
      <c r="Y428" s="33"/>
      <c r="Z428" s="33"/>
      <c r="AA428" s="33"/>
      <c r="AB428" s="33"/>
      <c r="AC428" s="33"/>
      <c r="AD428" s="33"/>
      <c r="AE428" s="33"/>
    </row>
    <row r="429" spans="10:31" x14ac:dyDescent="0.2">
      <c r="J429" s="33"/>
      <c r="R429" s="33"/>
      <c r="S429" s="33"/>
      <c r="T429" s="33"/>
      <c r="V429" s="33"/>
      <c r="W429" s="33"/>
      <c r="X429" s="33"/>
      <c r="Y429" s="33"/>
      <c r="Z429" s="33"/>
      <c r="AA429" s="33"/>
      <c r="AB429" s="33"/>
      <c r="AC429" s="33"/>
      <c r="AD429" s="33"/>
      <c r="AE429" s="33"/>
    </row>
    <row r="430" spans="10:31" x14ac:dyDescent="0.2">
      <c r="J430" s="33"/>
      <c r="R430" s="33"/>
      <c r="S430" s="33"/>
      <c r="T430" s="33"/>
      <c r="V430" s="33"/>
      <c r="W430" s="33"/>
      <c r="X430" s="33"/>
      <c r="Y430" s="33"/>
      <c r="Z430" s="33"/>
      <c r="AA430" s="33"/>
      <c r="AB430" s="33"/>
      <c r="AC430" s="33"/>
      <c r="AD430" s="33"/>
      <c r="AE430" s="33"/>
    </row>
    <row r="431" spans="10:31" x14ac:dyDescent="0.2">
      <c r="J431" s="33"/>
      <c r="R431" s="33"/>
      <c r="S431" s="33"/>
      <c r="T431" s="33"/>
      <c r="V431" s="33"/>
      <c r="W431" s="33"/>
      <c r="X431" s="33"/>
      <c r="Y431" s="33"/>
      <c r="Z431" s="33"/>
      <c r="AA431" s="33"/>
      <c r="AB431" s="33"/>
      <c r="AC431" s="33"/>
      <c r="AD431" s="33"/>
      <c r="AE431" s="33"/>
    </row>
    <row r="432" spans="10:31" x14ac:dyDescent="0.2">
      <c r="J432" s="33"/>
      <c r="R432" s="33"/>
      <c r="S432" s="33"/>
      <c r="T432" s="33"/>
      <c r="V432" s="33"/>
      <c r="W432" s="33"/>
      <c r="X432" s="33"/>
      <c r="Y432" s="33"/>
      <c r="Z432" s="33"/>
      <c r="AA432" s="33"/>
      <c r="AB432" s="33"/>
      <c r="AC432" s="33"/>
      <c r="AD432" s="33"/>
      <c r="AE432" s="33"/>
    </row>
    <row r="433" spans="10:31" x14ac:dyDescent="0.2">
      <c r="J433" s="33"/>
      <c r="R433" s="33"/>
      <c r="S433" s="33"/>
      <c r="T433" s="33"/>
      <c r="V433" s="33"/>
      <c r="W433" s="33"/>
      <c r="X433" s="33"/>
      <c r="Y433" s="33"/>
      <c r="Z433" s="33"/>
      <c r="AA433" s="33"/>
      <c r="AB433" s="33"/>
      <c r="AC433" s="33"/>
      <c r="AD433" s="33"/>
      <c r="AE433" s="33"/>
    </row>
    <row r="434" spans="10:31" x14ac:dyDescent="0.2">
      <c r="J434" s="33"/>
      <c r="R434" s="33"/>
      <c r="S434" s="33"/>
      <c r="T434" s="33"/>
      <c r="V434" s="33"/>
      <c r="W434" s="33"/>
      <c r="X434" s="33"/>
      <c r="Y434" s="33"/>
      <c r="Z434" s="33"/>
      <c r="AA434" s="33"/>
      <c r="AB434" s="33"/>
      <c r="AC434" s="33"/>
      <c r="AD434" s="33"/>
      <c r="AE434" s="33"/>
    </row>
    <row r="435" spans="10:31" x14ac:dyDescent="0.2">
      <c r="J435" s="33"/>
      <c r="R435" s="33"/>
      <c r="S435" s="33"/>
      <c r="T435" s="33"/>
      <c r="V435" s="33"/>
      <c r="W435" s="33"/>
      <c r="X435" s="33"/>
      <c r="Y435" s="33"/>
      <c r="Z435" s="33"/>
      <c r="AA435" s="33"/>
      <c r="AB435" s="33"/>
      <c r="AC435" s="33"/>
      <c r="AD435" s="33"/>
      <c r="AE435" s="33"/>
    </row>
    <row r="436" spans="10:31" x14ac:dyDescent="0.2">
      <c r="J436" s="33"/>
      <c r="R436" s="33"/>
      <c r="S436" s="33"/>
      <c r="T436" s="33"/>
      <c r="V436" s="33"/>
      <c r="W436" s="33"/>
      <c r="X436" s="33"/>
      <c r="Y436" s="33"/>
      <c r="Z436" s="33"/>
      <c r="AA436" s="33"/>
      <c r="AB436" s="33"/>
      <c r="AC436" s="33"/>
      <c r="AD436" s="33"/>
      <c r="AE436" s="33"/>
    </row>
    <row r="437" spans="10:31" x14ac:dyDescent="0.2">
      <c r="J437" s="33"/>
      <c r="R437" s="33"/>
      <c r="S437" s="33"/>
      <c r="T437" s="33"/>
      <c r="V437" s="33"/>
      <c r="W437" s="33"/>
      <c r="X437" s="33"/>
      <c r="Y437" s="33"/>
      <c r="Z437" s="33"/>
      <c r="AA437" s="33"/>
      <c r="AB437" s="33"/>
      <c r="AC437" s="33"/>
      <c r="AD437" s="33"/>
      <c r="AE437" s="33"/>
    </row>
    <row r="438" spans="10:31" x14ac:dyDescent="0.2">
      <c r="J438" s="33"/>
      <c r="R438" s="33"/>
      <c r="S438" s="33"/>
      <c r="T438" s="33"/>
      <c r="V438" s="33"/>
      <c r="W438" s="33"/>
      <c r="X438" s="33"/>
      <c r="Y438" s="33"/>
      <c r="Z438" s="33"/>
      <c r="AA438" s="33"/>
      <c r="AB438" s="33"/>
      <c r="AC438" s="33"/>
      <c r="AD438" s="33"/>
      <c r="AE438" s="33"/>
    </row>
    <row r="439" spans="10:31" x14ac:dyDescent="0.2">
      <c r="J439" s="33"/>
      <c r="R439" s="33"/>
      <c r="S439" s="33"/>
      <c r="T439" s="33"/>
      <c r="V439" s="33"/>
      <c r="W439" s="33"/>
      <c r="X439" s="33"/>
      <c r="Y439" s="33"/>
      <c r="Z439" s="33"/>
      <c r="AA439" s="33"/>
      <c r="AB439" s="33"/>
      <c r="AC439" s="33"/>
      <c r="AD439" s="33"/>
      <c r="AE439" s="33"/>
    </row>
    <row r="440" spans="10:31" x14ac:dyDescent="0.2">
      <c r="J440" s="33"/>
      <c r="R440" s="33"/>
      <c r="S440" s="33"/>
      <c r="T440" s="33"/>
      <c r="V440" s="33"/>
      <c r="W440" s="33"/>
      <c r="X440" s="33"/>
      <c r="Y440" s="33"/>
      <c r="Z440" s="33"/>
      <c r="AA440" s="33"/>
      <c r="AB440" s="33"/>
      <c r="AC440" s="33"/>
      <c r="AD440" s="33"/>
      <c r="AE440" s="33"/>
    </row>
    <row r="441" spans="10:31" x14ac:dyDescent="0.2">
      <c r="J441" s="33"/>
      <c r="R441" s="33"/>
      <c r="S441" s="33"/>
      <c r="T441" s="33"/>
      <c r="V441" s="33"/>
      <c r="W441" s="33"/>
      <c r="X441" s="33"/>
      <c r="Y441" s="33"/>
      <c r="Z441" s="33"/>
      <c r="AA441" s="33"/>
      <c r="AB441" s="33"/>
      <c r="AC441" s="33"/>
      <c r="AD441" s="33"/>
      <c r="AE441" s="33"/>
    </row>
    <row r="442" spans="10:31" x14ac:dyDescent="0.2">
      <c r="J442" s="33"/>
      <c r="R442" s="33"/>
      <c r="S442" s="33"/>
      <c r="T442" s="33"/>
      <c r="V442" s="33"/>
      <c r="W442" s="33"/>
      <c r="X442" s="33"/>
      <c r="Y442" s="33"/>
      <c r="Z442" s="33"/>
      <c r="AA442" s="33"/>
      <c r="AB442" s="33"/>
      <c r="AC442" s="33"/>
      <c r="AD442" s="33"/>
      <c r="AE442" s="33"/>
    </row>
    <row r="443" spans="10:31" x14ac:dyDescent="0.2">
      <c r="J443" s="33"/>
      <c r="R443" s="33"/>
      <c r="S443" s="33"/>
      <c r="T443" s="33"/>
      <c r="V443" s="33"/>
      <c r="W443" s="33"/>
      <c r="X443" s="33"/>
      <c r="Y443" s="33"/>
      <c r="Z443" s="33"/>
      <c r="AA443" s="33"/>
      <c r="AB443" s="33"/>
      <c r="AC443" s="33"/>
      <c r="AD443" s="33"/>
      <c r="AE443" s="33"/>
    </row>
    <row r="444" spans="10:31" x14ac:dyDescent="0.2">
      <c r="J444" s="33"/>
      <c r="R444" s="33"/>
      <c r="S444" s="33"/>
      <c r="T444" s="33"/>
      <c r="V444" s="33"/>
      <c r="W444" s="33"/>
      <c r="X444" s="33"/>
      <c r="Y444" s="33"/>
      <c r="Z444" s="33"/>
      <c r="AA444" s="33"/>
      <c r="AB444" s="33"/>
      <c r="AC444" s="33"/>
      <c r="AD444" s="33"/>
      <c r="AE444" s="33"/>
    </row>
    <row r="445" spans="10:31" x14ac:dyDescent="0.2">
      <c r="J445" s="33"/>
      <c r="R445" s="33"/>
      <c r="S445" s="33"/>
      <c r="T445" s="33"/>
      <c r="V445" s="33"/>
      <c r="W445" s="33"/>
      <c r="X445" s="33"/>
      <c r="Y445" s="33"/>
      <c r="Z445" s="33"/>
      <c r="AA445" s="33"/>
      <c r="AB445" s="33"/>
      <c r="AC445" s="33"/>
      <c r="AD445" s="33"/>
      <c r="AE445" s="33"/>
    </row>
    <row r="446" spans="10:31" x14ac:dyDescent="0.2">
      <c r="J446" s="33"/>
      <c r="R446" s="33"/>
      <c r="S446" s="33"/>
      <c r="T446" s="33"/>
      <c r="V446" s="33"/>
      <c r="W446" s="33"/>
      <c r="X446" s="33"/>
      <c r="Y446" s="33"/>
      <c r="Z446" s="33"/>
      <c r="AA446" s="33"/>
      <c r="AB446" s="33"/>
      <c r="AC446" s="33"/>
      <c r="AD446" s="33"/>
      <c r="AE446" s="33"/>
    </row>
    <row r="447" spans="10:31" x14ac:dyDescent="0.2">
      <c r="J447" s="33"/>
      <c r="R447" s="33"/>
      <c r="S447" s="33"/>
      <c r="T447" s="33"/>
      <c r="V447" s="33"/>
      <c r="W447" s="33"/>
      <c r="X447" s="33"/>
      <c r="Y447" s="33"/>
      <c r="Z447" s="33"/>
      <c r="AA447" s="33"/>
      <c r="AB447" s="33"/>
      <c r="AC447" s="33"/>
      <c r="AD447" s="33"/>
      <c r="AE447" s="33"/>
    </row>
    <row r="448" spans="10:31" x14ac:dyDescent="0.2">
      <c r="J448" s="33"/>
      <c r="R448" s="33"/>
      <c r="S448" s="33"/>
      <c r="T448" s="33"/>
      <c r="V448" s="33"/>
      <c r="W448" s="33"/>
      <c r="X448" s="33"/>
      <c r="Y448" s="33"/>
      <c r="Z448" s="33"/>
      <c r="AA448" s="33"/>
      <c r="AB448" s="33"/>
      <c r="AC448" s="33"/>
      <c r="AD448" s="33"/>
      <c r="AE448" s="33"/>
    </row>
    <row r="449" spans="5:31" x14ac:dyDescent="0.2">
      <c r="J449" s="33"/>
      <c r="R449" s="33"/>
      <c r="S449" s="33"/>
      <c r="T449" s="33"/>
      <c r="V449" s="33"/>
      <c r="W449" s="33"/>
      <c r="X449" s="33"/>
      <c r="Y449" s="33"/>
      <c r="Z449" s="33"/>
      <c r="AA449" s="33"/>
      <c r="AB449" s="33"/>
      <c r="AC449" s="33"/>
      <c r="AD449" s="33"/>
      <c r="AE449" s="33"/>
    </row>
    <row r="450" spans="5:31" x14ac:dyDescent="0.2">
      <c r="J450" s="33"/>
      <c r="R450" s="33"/>
      <c r="S450" s="33"/>
      <c r="T450" s="33"/>
      <c r="V450" s="33"/>
      <c r="W450" s="33"/>
      <c r="X450" s="33"/>
      <c r="Y450" s="33"/>
      <c r="Z450" s="33"/>
      <c r="AA450" s="33"/>
      <c r="AB450" s="33"/>
      <c r="AC450" s="33"/>
      <c r="AD450" s="33"/>
      <c r="AE450" s="33"/>
    </row>
    <row r="451" spans="5:31" x14ac:dyDescent="0.2">
      <c r="J451" s="33"/>
      <c r="R451" s="33"/>
      <c r="S451" s="33"/>
      <c r="T451" s="33"/>
      <c r="V451" s="33"/>
      <c r="W451" s="33"/>
      <c r="X451" s="33"/>
      <c r="Y451" s="33"/>
      <c r="Z451" s="33"/>
      <c r="AA451" s="33"/>
      <c r="AB451" s="33"/>
      <c r="AC451" s="33"/>
      <c r="AD451" s="33"/>
      <c r="AE451" s="33"/>
    </row>
    <row r="452" spans="5:31" x14ac:dyDescent="0.2">
      <c r="J452" s="33"/>
      <c r="R452" s="33"/>
      <c r="S452" s="33"/>
      <c r="T452" s="33"/>
      <c r="V452" s="33"/>
      <c r="W452" s="33"/>
      <c r="X452" s="33"/>
      <c r="Y452" s="33"/>
      <c r="Z452" s="33"/>
      <c r="AA452" s="33"/>
      <c r="AB452" s="33"/>
      <c r="AC452" s="33"/>
      <c r="AD452" s="33"/>
      <c r="AE452" s="33"/>
    </row>
    <row r="453" spans="5:31" x14ac:dyDescent="0.2">
      <c r="J453" s="33"/>
      <c r="R453" s="33"/>
      <c r="S453" s="33"/>
      <c r="T453" s="33"/>
      <c r="V453" s="33"/>
      <c r="W453" s="33"/>
      <c r="X453" s="33"/>
      <c r="Y453" s="33"/>
      <c r="Z453" s="33"/>
      <c r="AA453" s="33"/>
      <c r="AB453" s="33"/>
      <c r="AC453" s="33"/>
      <c r="AD453" s="33"/>
      <c r="AE453" s="33"/>
    </row>
    <row r="454" spans="5:31" x14ac:dyDescent="0.2">
      <c r="J454" s="33"/>
      <c r="R454" s="33"/>
      <c r="S454" s="33"/>
      <c r="T454" s="33"/>
      <c r="V454" s="33"/>
      <c r="W454" s="33"/>
      <c r="X454" s="33"/>
      <c r="Y454" s="33"/>
      <c r="Z454" s="33"/>
      <c r="AA454" s="33"/>
      <c r="AB454" s="33"/>
      <c r="AC454" s="33"/>
      <c r="AD454" s="33"/>
      <c r="AE454" s="33"/>
    </row>
    <row r="455" spans="5:31" x14ac:dyDescent="0.2">
      <c r="J455" s="33"/>
      <c r="R455" s="33"/>
      <c r="S455" s="33"/>
      <c r="T455" s="33"/>
      <c r="V455" s="33"/>
      <c r="W455" s="33"/>
      <c r="X455" s="33"/>
      <c r="Y455" s="33"/>
      <c r="Z455" s="33"/>
      <c r="AA455" s="33"/>
      <c r="AB455" s="33"/>
      <c r="AC455" s="33"/>
      <c r="AD455" s="33"/>
      <c r="AE455" s="33"/>
    </row>
    <row r="456" spans="5:31" x14ac:dyDescent="0.2">
      <c r="J456" s="33"/>
      <c r="R456" s="33"/>
      <c r="S456" s="33"/>
      <c r="T456" s="33"/>
      <c r="V456" s="33"/>
      <c r="W456" s="33"/>
      <c r="X456" s="33"/>
      <c r="Y456" s="33"/>
      <c r="Z456" s="33"/>
      <c r="AA456" s="33"/>
      <c r="AB456" s="33"/>
      <c r="AC456" s="33"/>
      <c r="AD456" s="33"/>
      <c r="AE456" s="33"/>
    </row>
    <row r="457" spans="5:31" x14ac:dyDescent="0.2">
      <c r="J457" s="33"/>
      <c r="R457" s="33"/>
      <c r="S457" s="33"/>
      <c r="T457" s="33"/>
      <c r="V457" s="33"/>
      <c r="W457" s="33"/>
      <c r="X457" s="33"/>
      <c r="Y457" s="33"/>
      <c r="Z457" s="33"/>
      <c r="AA457" s="33"/>
      <c r="AB457" s="33"/>
      <c r="AC457" s="33"/>
      <c r="AD457" s="33"/>
      <c r="AE457" s="33"/>
    </row>
    <row r="458" spans="5:31" x14ac:dyDescent="0.2">
      <c r="J458" s="33"/>
      <c r="R458" s="33"/>
      <c r="S458" s="33"/>
      <c r="T458" s="33"/>
      <c r="V458" s="33"/>
      <c r="W458" s="33"/>
      <c r="X458" s="33"/>
      <c r="Y458" s="33"/>
      <c r="Z458" s="33"/>
      <c r="AA458" s="33"/>
      <c r="AB458" s="33"/>
      <c r="AC458" s="33"/>
      <c r="AD458" s="33"/>
      <c r="AE458" s="33"/>
    </row>
    <row r="459" spans="5:31" x14ac:dyDescent="0.2">
      <c r="J459" s="33"/>
      <c r="R459" s="33"/>
      <c r="S459" s="33"/>
      <c r="T459" s="33"/>
      <c r="V459" s="33"/>
      <c r="W459" s="33"/>
      <c r="X459" s="33"/>
      <c r="Y459" s="33"/>
      <c r="Z459" s="33"/>
      <c r="AA459" s="33"/>
      <c r="AB459" s="33"/>
      <c r="AC459" s="33"/>
      <c r="AD459" s="33"/>
      <c r="AE459" s="33"/>
    </row>
    <row r="460" spans="5:31" x14ac:dyDescent="0.2">
      <c r="J460" s="33"/>
      <c r="R460" s="33"/>
      <c r="S460" s="33"/>
      <c r="T460" s="33"/>
      <c r="V460" s="33"/>
      <c r="W460" s="33"/>
      <c r="X460" s="33"/>
      <c r="Y460" s="33"/>
      <c r="Z460" s="33"/>
      <c r="AA460" s="33"/>
      <c r="AB460" s="33"/>
      <c r="AC460" s="33"/>
      <c r="AD460" s="33"/>
      <c r="AE460" s="33"/>
    </row>
    <row r="461" spans="5:31" x14ac:dyDescent="0.2">
      <c r="E461" s="47"/>
      <c r="I461" s="52"/>
      <c r="J461" s="33"/>
      <c r="S461" s="54"/>
      <c r="T461" s="48"/>
      <c r="V461" s="34"/>
      <c r="Z461" s="50"/>
      <c r="AA461" s="34"/>
      <c r="AC461" s="51"/>
      <c r="AD461" s="51"/>
      <c r="AE461" s="33"/>
    </row>
    <row r="462" spans="5:31" x14ac:dyDescent="0.2">
      <c r="E462" s="47"/>
      <c r="I462" s="52"/>
      <c r="J462" s="33"/>
      <c r="S462" s="54"/>
      <c r="T462" s="48"/>
      <c r="V462" s="34"/>
      <c r="Z462" s="50"/>
      <c r="AA462" s="34"/>
      <c r="AC462" s="51"/>
      <c r="AD462" s="51"/>
      <c r="AE462" s="33"/>
    </row>
    <row r="463" spans="5:31" x14ac:dyDescent="0.2">
      <c r="E463" s="47"/>
      <c r="I463" s="52"/>
      <c r="J463" s="33"/>
      <c r="S463" s="54"/>
      <c r="T463" s="48"/>
      <c r="V463" s="34"/>
      <c r="Z463" s="50"/>
      <c r="AA463" s="34"/>
      <c r="AC463" s="51"/>
      <c r="AD463" s="51"/>
      <c r="AE463" s="33"/>
    </row>
    <row r="464" spans="5:31" x14ac:dyDescent="0.2">
      <c r="E464" s="47"/>
      <c r="I464" s="52"/>
      <c r="J464" s="33"/>
      <c r="S464" s="54"/>
      <c r="T464" s="48"/>
      <c r="V464" s="34"/>
      <c r="Z464" s="50"/>
      <c r="AA464" s="34"/>
      <c r="AC464" s="51"/>
      <c r="AD464" s="51"/>
      <c r="AE464" s="33"/>
    </row>
    <row r="465" spans="5:31" x14ac:dyDescent="0.2">
      <c r="E465" s="47"/>
      <c r="I465" s="52"/>
      <c r="J465" s="33"/>
      <c r="S465" s="54"/>
      <c r="T465" s="48"/>
      <c r="V465" s="34"/>
      <c r="Z465" s="50"/>
      <c r="AA465" s="34"/>
      <c r="AC465" s="51"/>
      <c r="AD465" s="51"/>
      <c r="AE465" s="33"/>
    </row>
    <row r="466" spans="5:31" x14ac:dyDescent="0.2">
      <c r="E466" s="47"/>
      <c r="I466" s="52"/>
      <c r="J466" s="33"/>
      <c r="S466" s="54"/>
      <c r="T466" s="48"/>
      <c r="V466" s="34"/>
      <c r="Z466" s="50"/>
      <c r="AA466" s="34"/>
      <c r="AC466" s="51"/>
      <c r="AD466" s="51"/>
      <c r="AE466" s="33"/>
    </row>
    <row r="467" spans="5:31" x14ac:dyDescent="0.2">
      <c r="E467" s="47"/>
      <c r="I467" s="52"/>
      <c r="J467" s="33"/>
      <c r="S467" s="54"/>
      <c r="T467" s="48"/>
      <c r="V467" s="34"/>
      <c r="Z467" s="50"/>
      <c r="AA467" s="34"/>
      <c r="AC467" s="51"/>
      <c r="AD467" s="51"/>
      <c r="AE467" s="33"/>
    </row>
    <row r="468" spans="5:31" x14ac:dyDescent="0.2">
      <c r="E468" s="47"/>
      <c r="I468" s="52"/>
      <c r="J468" s="33"/>
      <c r="S468" s="54"/>
      <c r="T468" s="48"/>
      <c r="V468" s="34"/>
      <c r="Z468" s="50"/>
      <c r="AA468" s="34"/>
      <c r="AC468" s="51"/>
      <c r="AD468" s="51"/>
      <c r="AE468" s="33"/>
    </row>
    <row r="469" spans="5:31" x14ac:dyDescent="0.2">
      <c r="E469" s="47"/>
      <c r="I469" s="52"/>
      <c r="J469" s="33"/>
      <c r="S469" s="54"/>
      <c r="T469" s="48"/>
      <c r="V469" s="34"/>
      <c r="Z469" s="50"/>
      <c r="AA469" s="34"/>
      <c r="AC469" s="51"/>
      <c r="AD469" s="51"/>
      <c r="AE469" s="33"/>
    </row>
    <row r="470" spans="5:31" x14ac:dyDescent="0.2">
      <c r="E470" s="47"/>
      <c r="I470" s="52"/>
      <c r="J470" s="33"/>
      <c r="S470" s="54"/>
      <c r="T470" s="48"/>
      <c r="V470" s="34"/>
      <c r="Z470" s="50"/>
      <c r="AA470" s="34"/>
      <c r="AC470" s="51"/>
      <c r="AD470" s="51"/>
      <c r="AE470" s="33"/>
    </row>
    <row r="471" spans="5:31" x14ac:dyDescent="0.2">
      <c r="E471" s="47"/>
      <c r="I471" s="52"/>
      <c r="J471" s="33"/>
      <c r="S471" s="54"/>
      <c r="T471" s="48"/>
      <c r="V471" s="34"/>
      <c r="Z471" s="50"/>
      <c r="AA471" s="34"/>
      <c r="AC471" s="51"/>
      <c r="AD471" s="51"/>
      <c r="AE471" s="33"/>
    </row>
    <row r="472" spans="5:31" x14ac:dyDescent="0.2">
      <c r="E472" s="47"/>
      <c r="I472" s="52"/>
      <c r="J472" s="33"/>
      <c r="S472" s="54"/>
      <c r="T472" s="48"/>
      <c r="V472" s="34"/>
      <c r="Z472" s="50"/>
      <c r="AA472" s="34"/>
      <c r="AC472" s="51"/>
      <c r="AD472" s="51"/>
      <c r="AE472" s="33"/>
    </row>
    <row r="473" spans="5:31" x14ac:dyDescent="0.2">
      <c r="E473" s="47"/>
      <c r="I473" s="52"/>
      <c r="J473" s="33"/>
      <c r="S473" s="54"/>
      <c r="T473" s="48"/>
      <c r="V473" s="34"/>
      <c r="Z473" s="50"/>
      <c r="AA473" s="34"/>
      <c r="AC473" s="51"/>
      <c r="AD473" s="51"/>
      <c r="AE473" s="33"/>
    </row>
    <row r="474" spans="5:31" x14ac:dyDescent="0.2">
      <c r="E474" s="47"/>
      <c r="I474" s="52"/>
      <c r="J474" s="33"/>
      <c r="S474" s="54"/>
      <c r="T474" s="48"/>
      <c r="V474" s="34"/>
      <c r="Z474" s="50"/>
      <c r="AA474" s="34"/>
      <c r="AC474" s="51"/>
      <c r="AD474" s="51"/>
      <c r="AE474" s="33"/>
    </row>
    <row r="475" spans="5:31" x14ac:dyDescent="0.2">
      <c r="E475" s="47"/>
      <c r="I475" s="52"/>
      <c r="J475" s="33"/>
      <c r="S475" s="54"/>
      <c r="T475" s="48"/>
      <c r="V475" s="34"/>
      <c r="Z475" s="50"/>
      <c r="AA475" s="34"/>
      <c r="AC475" s="51"/>
      <c r="AD475" s="51"/>
      <c r="AE475" s="33"/>
    </row>
    <row r="476" spans="5:31" x14ac:dyDescent="0.2">
      <c r="E476" s="47"/>
      <c r="I476" s="52"/>
      <c r="J476" s="33"/>
      <c r="S476" s="54"/>
      <c r="T476" s="48"/>
      <c r="V476" s="34"/>
      <c r="Z476" s="50"/>
      <c r="AA476" s="34"/>
      <c r="AC476" s="51"/>
      <c r="AD476" s="51"/>
      <c r="AE476" s="33"/>
    </row>
    <row r="477" spans="5:31" x14ac:dyDescent="0.2">
      <c r="E477" s="47"/>
      <c r="I477" s="52"/>
      <c r="J477" s="33"/>
      <c r="S477" s="54"/>
      <c r="T477" s="48"/>
      <c r="V477" s="34"/>
      <c r="Z477" s="50"/>
      <c r="AA477" s="34"/>
      <c r="AC477" s="51"/>
      <c r="AD477" s="51"/>
      <c r="AE477" s="33"/>
    </row>
    <row r="478" spans="5:31" x14ac:dyDescent="0.2">
      <c r="E478" s="47"/>
      <c r="I478" s="52"/>
      <c r="J478" s="33"/>
      <c r="S478" s="54"/>
      <c r="T478" s="48"/>
      <c r="V478" s="34"/>
      <c r="Z478" s="50"/>
      <c r="AA478" s="34"/>
      <c r="AC478" s="51"/>
      <c r="AD478" s="51"/>
      <c r="AE478" s="33"/>
    </row>
    <row r="479" spans="5:31" x14ac:dyDescent="0.2">
      <c r="E479" s="47"/>
      <c r="I479" s="52"/>
      <c r="J479" s="33"/>
      <c r="S479" s="54"/>
      <c r="T479" s="48"/>
      <c r="V479" s="34"/>
      <c r="Z479" s="50"/>
      <c r="AA479" s="34"/>
      <c r="AC479" s="51"/>
      <c r="AD479" s="51"/>
      <c r="AE479" s="33"/>
    </row>
    <row r="480" spans="5:31" x14ac:dyDescent="0.2">
      <c r="E480" s="47"/>
      <c r="I480" s="52"/>
      <c r="J480" s="33"/>
      <c r="S480" s="54"/>
      <c r="T480" s="48"/>
      <c r="V480" s="34"/>
      <c r="Z480" s="50"/>
      <c r="AA480" s="34"/>
      <c r="AC480" s="51"/>
      <c r="AD480" s="51"/>
      <c r="AE480" s="33"/>
    </row>
    <row r="481" spans="5:31" x14ac:dyDescent="0.2">
      <c r="E481" s="47"/>
      <c r="I481" s="52"/>
      <c r="J481" s="33"/>
      <c r="S481" s="54"/>
      <c r="T481" s="48"/>
      <c r="V481" s="34"/>
      <c r="Z481" s="50"/>
      <c r="AA481" s="34"/>
      <c r="AC481" s="51"/>
      <c r="AD481" s="51"/>
      <c r="AE481" s="33"/>
    </row>
    <row r="482" spans="5:31" x14ac:dyDescent="0.2">
      <c r="E482" s="47"/>
      <c r="I482" s="52"/>
      <c r="J482" s="33"/>
      <c r="S482" s="54"/>
      <c r="T482" s="48"/>
      <c r="V482" s="34"/>
      <c r="Z482" s="50"/>
      <c r="AA482" s="34"/>
      <c r="AC482" s="51"/>
      <c r="AD482" s="51"/>
      <c r="AE482" s="33"/>
    </row>
    <row r="483" spans="5:31" x14ac:dyDescent="0.2">
      <c r="E483" s="47"/>
      <c r="I483" s="52"/>
      <c r="J483" s="33"/>
      <c r="S483" s="54"/>
      <c r="T483" s="48"/>
      <c r="V483" s="34"/>
      <c r="Z483" s="50"/>
      <c r="AA483" s="34"/>
      <c r="AC483" s="51"/>
      <c r="AD483" s="51"/>
      <c r="AE483" s="33"/>
    </row>
    <row r="484" spans="5:31" x14ac:dyDescent="0.2">
      <c r="E484" s="47"/>
      <c r="I484" s="52"/>
      <c r="J484" s="33"/>
      <c r="S484" s="54"/>
      <c r="T484" s="48"/>
      <c r="V484" s="34"/>
      <c r="Z484" s="50"/>
      <c r="AA484" s="34"/>
      <c r="AC484" s="51"/>
      <c r="AD484" s="51"/>
      <c r="AE484" s="33"/>
    </row>
    <row r="485" spans="5:31" x14ac:dyDescent="0.2">
      <c r="E485" s="47"/>
      <c r="I485" s="52"/>
      <c r="J485" s="33"/>
      <c r="S485" s="54"/>
      <c r="T485" s="48"/>
      <c r="V485" s="34"/>
      <c r="Z485" s="50"/>
      <c r="AA485" s="34"/>
      <c r="AC485" s="51"/>
      <c r="AD485" s="51"/>
      <c r="AE485" s="33"/>
    </row>
    <row r="486" spans="5:31" x14ac:dyDescent="0.2">
      <c r="E486" s="47"/>
      <c r="I486" s="52"/>
      <c r="J486" s="33"/>
      <c r="S486" s="54"/>
      <c r="T486" s="48"/>
      <c r="V486" s="34"/>
      <c r="Z486" s="50"/>
      <c r="AA486" s="34"/>
      <c r="AC486" s="51"/>
      <c r="AD486" s="51"/>
      <c r="AE486" s="33"/>
    </row>
    <row r="487" spans="5:31" x14ac:dyDescent="0.2">
      <c r="E487" s="47"/>
      <c r="I487" s="52"/>
      <c r="J487" s="33"/>
      <c r="S487" s="54"/>
      <c r="T487" s="48"/>
      <c r="V487" s="34"/>
      <c r="Z487" s="50"/>
      <c r="AA487" s="34"/>
      <c r="AC487" s="51"/>
      <c r="AD487" s="51"/>
      <c r="AE487" s="33"/>
    </row>
    <row r="488" spans="5:31" x14ac:dyDescent="0.2">
      <c r="E488" s="47"/>
      <c r="I488" s="52"/>
      <c r="J488" s="33"/>
      <c r="S488" s="54"/>
      <c r="T488" s="48"/>
      <c r="V488" s="34"/>
      <c r="Z488" s="50"/>
      <c r="AA488" s="34"/>
      <c r="AC488" s="51"/>
      <c r="AD488" s="51"/>
      <c r="AE488" s="33"/>
    </row>
    <row r="489" spans="5:31" x14ac:dyDescent="0.2">
      <c r="E489" s="47"/>
      <c r="I489" s="52"/>
      <c r="J489" s="33"/>
      <c r="S489" s="54"/>
      <c r="T489" s="48"/>
      <c r="V489" s="34"/>
      <c r="Z489" s="50"/>
      <c r="AA489" s="34"/>
      <c r="AC489" s="51"/>
      <c r="AD489" s="51"/>
      <c r="AE489" s="33"/>
    </row>
    <row r="490" spans="5:31" x14ac:dyDescent="0.2">
      <c r="E490" s="47"/>
      <c r="I490" s="52"/>
      <c r="J490" s="33"/>
      <c r="S490" s="54"/>
      <c r="T490" s="48"/>
      <c r="V490" s="34"/>
      <c r="Z490" s="50"/>
      <c r="AA490" s="34"/>
      <c r="AC490" s="51"/>
      <c r="AD490" s="51"/>
      <c r="AE490" s="33"/>
    </row>
    <row r="491" spans="5:31" x14ac:dyDescent="0.2">
      <c r="E491" s="47"/>
      <c r="I491" s="52"/>
      <c r="J491" s="33"/>
      <c r="S491" s="54"/>
      <c r="T491" s="48"/>
      <c r="V491" s="34"/>
      <c r="Z491" s="50"/>
      <c r="AA491" s="34"/>
      <c r="AC491" s="51"/>
      <c r="AD491" s="51"/>
      <c r="AE491" s="33"/>
    </row>
    <row r="492" spans="5:31" x14ac:dyDescent="0.2">
      <c r="E492" s="47"/>
      <c r="I492" s="52"/>
      <c r="J492" s="33"/>
      <c r="S492" s="54"/>
      <c r="T492" s="48"/>
      <c r="V492" s="34"/>
      <c r="Z492" s="50"/>
      <c r="AA492" s="34"/>
      <c r="AC492" s="51"/>
      <c r="AD492" s="51"/>
      <c r="AE492" s="33"/>
    </row>
    <row r="493" spans="5:31" x14ac:dyDescent="0.2">
      <c r="E493" s="47"/>
      <c r="I493" s="52"/>
      <c r="J493" s="33"/>
      <c r="S493" s="54"/>
      <c r="T493" s="48"/>
      <c r="V493" s="34"/>
      <c r="Z493" s="50"/>
      <c r="AA493" s="34"/>
      <c r="AC493" s="51"/>
      <c r="AD493" s="51"/>
      <c r="AE493" s="33"/>
    </row>
    <row r="494" spans="5:31" x14ac:dyDescent="0.2">
      <c r="E494" s="47"/>
      <c r="I494" s="52"/>
      <c r="J494" s="33"/>
      <c r="S494" s="54"/>
      <c r="T494" s="48"/>
      <c r="V494" s="34"/>
      <c r="Z494" s="50"/>
      <c r="AA494" s="34"/>
      <c r="AC494" s="51"/>
      <c r="AD494" s="51"/>
      <c r="AE494" s="33"/>
    </row>
    <row r="495" spans="5:31" x14ac:dyDescent="0.2">
      <c r="E495" s="47"/>
      <c r="I495" s="52"/>
      <c r="J495" s="33"/>
      <c r="S495" s="54"/>
      <c r="T495" s="48"/>
      <c r="V495" s="34"/>
      <c r="Z495" s="50"/>
      <c r="AA495" s="34"/>
      <c r="AC495" s="51"/>
      <c r="AD495" s="51"/>
      <c r="AE495" s="33"/>
    </row>
    <row r="496" spans="5:31" x14ac:dyDescent="0.2">
      <c r="E496" s="47"/>
      <c r="I496" s="52"/>
      <c r="J496" s="33"/>
      <c r="S496" s="54"/>
      <c r="T496" s="48"/>
      <c r="V496" s="34"/>
      <c r="Z496" s="50"/>
      <c r="AA496" s="34"/>
      <c r="AC496" s="51"/>
      <c r="AD496" s="51"/>
      <c r="AE496" s="33"/>
    </row>
    <row r="497" spans="5:31" x14ac:dyDescent="0.2">
      <c r="E497" s="47"/>
      <c r="I497" s="52"/>
      <c r="J497" s="33"/>
      <c r="S497" s="54"/>
      <c r="T497" s="48"/>
      <c r="V497" s="34"/>
      <c r="Z497" s="50"/>
      <c r="AA497" s="34"/>
      <c r="AC497" s="51"/>
      <c r="AD497" s="51"/>
      <c r="AE497" s="33"/>
    </row>
    <row r="498" spans="5:31" x14ac:dyDescent="0.2">
      <c r="E498" s="47"/>
      <c r="I498" s="52"/>
      <c r="J498" s="33"/>
      <c r="S498" s="54"/>
      <c r="T498" s="48"/>
      <c r="V498" s="34"/>
      <c r="Z498" s="50"/>
      <c r="AA498" s="34"/>
      <c r="AC498" s="51"/>
      <c r="AD498" s="51"/>
      <c r="AE498" s="33"/>
    </row>
    <row r="499" spans="5:31" x14ac:dyDescent="0.2">
      <c r="E499" s="47"/>
      <c r="I499" s="52"/>
      <c r="J499" s="33"/>
      <c r="S499" s="54"/>
      <c r="T499" s="48"/>
      <c r="V499" s="34"/>
      <c r="Z499" s="50"/>
      <c r="AA499" s="34"/>
      <c r="AC499" s="51"/>
      <c r="AD499" s="51"/>
      <c r="AE499" s="33"/>
    </row>
    <row r="500" spans="5:31" x14ac:dyDescent="0.2">
      <c r="E500" s="47"/>
      <c r="I500" s="52"/>
      <c r="J500" s="33"/>
      <c r="S500" s="54"/>
      <c r="T500" s="48"/>
      <c r="V500" s="34"/>
      <c r="Z500" s="50"/>
      <c r="AA500" s="34"/>
      <c r="AC500" s="51"/>
      <c r="AD500" s="51"/>
      <c r="AE500" s="33"/>
    </row>
    <row r="501" spans="5:31" x14ac:dyDescent="0.2">
      <c r="E501" s="47"/>
      <c r="I501" s="52"/>
      <c r="J501" s="33"/>
      <c r="S501" s="54"/>
      <c r="T501" s="48"/>
      <c r="V501" s="34"/>
      <c r="Z501" s="50"/>
      <c r="AA501" s="34"/>
      <c r="AC501" s="51"/>
      <c r="AD501" s="51"/>
      <c r="AE501" s="33"/>
    </row>
    <row r="502" spans="5:31" x14ac:dyDescent="0.2">
      <c r="E502" s="47"/>
      <c r="I502" s="52"/>
      <c r="J502" s="33"/>
      <c r="S502" s="54"/>
      <c r="T502" s="48"/>
      <c r="V502" s="34"/>
      <c r="Z502" s="50"/>
      <c r="AA502" s="34"/>
      <c r="AC502" s="51"/>
      <c r="AD502" s="51"/>
      <c r="AE502" s="33"/>
    </row>
    <row r="503" spans="5:31" x14ac:dyDescent="0.2">
      <c r="E503" s="47"/>
      <c r="I503" s="52"/>
      <c r="J503" s="33"/>
      <c r="S503" s="54"/>
      <c r="T503" s="48"/>
      <c r="V503" s="34"/>
      <c r="Z503" s="50"/>
      <c r="AA503" s="34"/>
      <c r="AC503" s="51"/>
      <c r="AD503" s="51"/>
      <c r="AE503" s="33"/>
    </row>
    <row r="504" spans="5:31" x14ac:dyDescent="0.2">
      <c r="E504" s="47"/>
      <c r="I504" s="52"/>
      <c r="J504" s="33"/>
      <c r="S504" s="54"/>
      <c r="T504" s="48"/>
      <c r="V504" s="34"/>
      <c r="Z504" s="50"/>
      <c r="AA504" s="34"/>
      <c r="AC504" s="51"/>
      <c r="AD504" s="51"/>
      <c r="AE504" s="33"/>
    </row>
    <row r="505" spans="5:31" x14ac:dyDescent="0.2">
      <c r="E505" s="47"/>
      <c r="I505" s="52"/>
      <c r="J505" s="33"/>
      <c r="S505" s="54"/>
      <c r="T505" s="48"/>
      <c r="V505" s="34"/>
      <c r="Z505" s="50"/>
      <c r="AA505" s="34"/>
      <c r="AC505" s="51"/>
      <c r="AD505" s="51"/>
      <c r="AE505" s="33"/>
    </row>
    <row r="506" spans="5:31" x14ac:dyDescent="0.2">
      <c r="E506" s="47"/>
      <c r="I506" s="52"/>
      <c r="J506" s="33"/>
      <c r="S506" s="54"/>
      <c r="T506" s="48"/>
      <c r="V506" s="34"/>
      <c r="Z506" s="50"/>
      <c r="AA506" s="34"/>
      <c r="AC506" s="51"/>
      <c r="AD506" s="51"/>
      <c r="AE506" s="33"/>
    </row>
    <row r="507" spans="5:31" x14ac:dyDescent="0.2">
      <c r="E507" s="47"/>
      <c r="I507" s="52"/>
      <c r="J507" s="33"/>
      <c r="S507" s="54"/>
      <c r="T507" s="48"/>
      <c r="V507" s="34"/>
      <c r="Z507" s="50"/>
      <c r="AA507" s="34"/>
      <c r="AC507" s="51"/>
      <c r="AD507" s="51"/>
      <c r="AE507" s="33"/>
    </row>
    <row r="508" spans="5:31" x14ac:dyDescent="0.2">
      <c r="E508" s="47"/>
      <c r="I508" s="52"/>
      <c r="J508" s="33"/>
      <c r="S508" s="54"/>
      <c r="T508" s="48"/>
      <c r="V508" s="34"/>
      <c r="Z508" s="50"/>
      <c r="AA508" s="34"/>
      <c r="AC508" s="51"/>
      <c r="AD508" s="51"/>
      <c r="AE508" s="33"/>
    </row>
    <row r="509" spans="5:31" x14ac:dyDescent="0.2">
      <c r="E509" s="47"/>
      <c r="I509" s="52"/>
      <c r="J509" s="33"/>
      <c r="S509" s="54"/>
      <c r="T509" s="48"/>
      <c r="V509" s="34"/>
      <c r="Z509" s="50"/>
      <c r="AA509" s="34"/>
      <c r="AC509" s="51"/>
      <c r="AD509" s="51"/>
      <c r="AE509" s="33"/>
    </row>
    <row r="510" spans="5:31" x14ac:dyDescent="0.2">
      <c r="E510" s="47"/>
      <c r="I510" s="52"/>
      <c r="J510" s="33"/>
      <c r="S510" s="54"/>
      <c r="T510" s="48"/>
      <c r="V510" s="34"/>
      <c r="Z510" s="50"/>
      <c r="AA510" s="34"/>
      <c r="AC510" s="51"/>
      <c r="AD510" s="51"/>
      <c r="AE510" s="33"/>
    </row>
    <row r="511" spans="5:31" x14ac:dyDescent="0.2">
      <c r="E511" s="47"/>
      <c r="I511" s="52"/>
      <c r="J511" s="33"/>
      <c r="S511" s="54"/>
      <c r="T511" s="48"/>
      <c r="V511" s="34"/>
      <c r="Z511" s="50"/>
      <c r="AA511" s="34"/>
      <c r="AC511" s="51"/>
      <c r="AD511" s="51"/>
      <c r="AE511" s="33"/>
    </row>
    <row r="512" spans="5:31" x14ac:dyDescent="0.2">
      <c r="E512" s="47"/>
      <c r="I512" s="52"/>
      <c r="J512" s="33"/>
      <c r="S512" s="54"/>
      <c r="T512" s="48"/>
      <c r="V512" s="34"/>
      <c r="Z512" s="50"/>
      <c r="AA512" s="34"/>
      <c r="AC512" s="51"/>
      <c r="AD512" s="51"/>
      <c r="AE512" s="33"/>
    </row>
    <row r="513" spans="5:31" x14ac:dyDescent="0.2">
      <c r="E513" s="47"/>
      <c r="I513" s="52"/>
      <c r="J513" s="33"/>
      <c r="S513" s="54"/>
      <c r="T513" s="48"/>
      <c r="V513" s="34"/>
      <c r="Z513" s="50"/>
      <c r="AA513" s="34"/>
      <c r="AC513" s="51"/>
      <c r="AD513" s="51"/>
      <c r="AE513" s="33"/>
    </row>
    <row r="514" spans="5:31" x14ac:dyDescent="0.2">
      <c r="E514" s="47"/>
      <c r="I514" s="52"/>
      <c r="J514" s="33"/>
      <c r="S514" s="54"/>
      <c r="T514" s="48"/>
      <c r="V514" s="34"/>
      <c r="Z514" s="50"/>
      <c r="AA514" s="34"/>
      <c r="AC514" s="51"/>
      <c r="AD514" s="51"/>
      <c r="AE514" s="33"/>
    </row>
    <row r="515" spans="5:31" x14ac:dyDescent="0.2">
      <c r="E515" s="47"/>
      <c r="I515" s="52"/>
      <c r="J515" s="33"/>
      <c r="S515" s="54"/>
      <c r="T515" s="48"/>
      <c r="V515" s="34"/>
      <c r="Z515" s="50"/>
      <c r="AA515" s="34"/>
      <c r="AC515" s="51"/>
      <c r="AD515" s="51"/>
      <c r="AE515" s="33"/>
    </row>
    <row r="516" spans="5:31" x14ac:dyDescent="0.2">
      <c r="E516" s="47"/>
      <c r="I516" s="52"/>
      <c r="J516" s="33"/>
      <c r="S516" s="54"/>
      <c r="T516" s="48"/>
      <c r="V516" s="34"/>
      <c r="Z516" s="50"/>
      <c r="AA516" s="34"/>
      <c r="AC516" s="51"/>
      <c r="AD516" s="51"/>
      <c r="AE516" s="33"/>
    </row>
    <row r="517" spans="5:31" x14ac:dyDescent="0.2">
      <c r="E517" s="47"/>
      <c r="I517" s="52"/>
      <c r="J517" s="33"/>
      <c r="S517" s="54"/>
      <c r="T517" s="48"/>
      <c r="V517" s="34"/>
      <c r="Z517" s="50"/>
      <c r="AA517" s="34"/>
      <c r="AC517" s="51"/>
      <c r="AD517" s="51"/>
      <c r="AE517" s="33"/>
    </row>
    <row r="518" spans="5:31" x14ac:dyDescent="0.2">
      <c r="E518" s="47"/>
      <c r="I518" s="52"/>
      <c r="J518" s="33"/>
      <c r="S518" s="54"/>
      <c r="T518" s="48"/>
      <c r="V518" s="34"/>
      <c r="Z518" s="50"/>
      <c r="AA518" s="34"/>
      <c r="AC518" s="51"/>
      <c r="AD518" s="51"/>
      <c r="AE518" s="33"/>
    </row>
    <row r="519" spans="5:31" x14ac:dyDescent="0.2">
      <c r="E519" s="47"/>
      <c r="I519" s="52"/>
      <c r="J519" s="33"/>
      <c r="S519" s="54"/>
      <c r="T519" s="48"/>
      <c r="V519" s="34"/>
      <c r="Z519" s="50"/>
      <c r="AA519" s="34"/>
      <c r="AC519" s="51"/>
      <c r="AD519" s="51"/>
      <c r="AE519" s="33"/>
    </row>
    <row r="520" spans="5:31" x14ac:dyDescent="0.2">
      <c r="E520" s="47"/>
      <c r="I520" s="52"/>
      <c r="J520" s="33"/>
      <c r="S520" s="54"/>
      <c r="T520" s="48"/>
      <c r="V520" s="34"/>
      <c r="Z520" s="50"/>
      <c r="AA520" s="34"/>
      <c r="AC520" s="51"/>
      <c r="AD520" s="51"/>
      <c r="AE520" s="33"/>
    </row>
    <row r="521" spans="5:31" x14ac:dyDescent="0.2">
      <c r="E521" s="47"/>
      <c r="I521" s="52"/>
      <c r="J521" s="33"/>
      <c r="S521" s="54"/>
      <c r="T521" s="48"/>
      <c r="V521" s="34"/>
      <c r="Z521" s="50"/>
      <c r="AA521" s="34"/>
      <c r="AC521" s="51"/>
      <c r="AD521" s="51"/>
      <c r="AE521" s="33"/>
    </row>
    <row r="522" spans="5:31" x14ac:dyDescent="0.2">
      <c r="E522" s="47"/>
      <c r="I522" s="52"/>
      <c r="J522" s="33"/>
      <c r="S522" s="54"/>
      <c r="T522" s="48"/>
      <c r="V522" s="34"/>
      <c r="Z522" s="50"/>
      <c r="AA522" s="34"/>
      <c r="AC522" s="51"/>
      <c r="AD522" s="51"/>
      <c r="AE522" s="33"/>
    </row>
    <row r="523" spans="5:31" x14ac:dyDescent="0.2">
      <c r="E523" s="47"/>
      <c r="I523" s="52"/>
      <c r="J523" s="33"/>
      <c r="S523" s="54"/>
      <c r="T523" s="48"/>
      <c r="V523" s="34"/>
      <c r="Z523" s="50"/>
      <c r="AA523" s="34"/>
      <c r="AC523" s="51"/>
      <c r="AD523" s="51"/>
      <c r="AE523" s="33"/>
    </row>
    <row r="524" spans="5:31" x14ac:dyDescent="0.2">
      <c r="E524" s="47"/>
      <c r="I524" s="52"/>
      <c r="J524" s="33"/>
      <c r="S524" s="54"/>
      <c r="T524" s="48"/>
      <c r="V524" s="34"/>
      <c r="Z524" s="50"/>
      <c r="AA524" s="34"/>
      <c r="AC524" s="51"/>
      <c r="AD524" s="51"/>
      <c r="AE524" s="33"/>
    </row>
    <row r="525" spans="5:31" x14ac:dyDescent="0.2">
      <c r="E525" s="47"/>
      <c r="I525" s="52"/>
      <c r="J525" s="33"/>
      <c r="S525" s="54"/>
      <c r="T525" s="48"/>
      <c r="V525" s="34"/>
      <c r="Z525" s="50"/>
      <c r="AA525" s="34"/>
      <c r="AC525" s="51"/>
      <c r="AD525" s="51"/>
      <c r="AE525" s="33"/>
    </row>
    <row r="526" spans="5:31" x14ac:dyDescent="0.2">
      <c r="E526" s="47"/>
      <c r="I526" s="52"/>
      <c r="J526" s="33"/>
      <c r="S526" s="54"/>
      <c r="T526" s="48"/>
      <c r="V526" s="34"/>
      <c r="Z526" s="50"/>
      <c r="AA526" s="34"/>
      <c r="AC526" s="51"/>
      <c r="AD526" s="51"/>
      <c r="AE526" s="33"/>
    </row>
    <row r="527" spans="5:31" x14ac:dyDescent="0.2">
      <c r="E527" s="47"/>
      <c r="I527" s="52"/>
      <c r="J527" s="33"/>
      <c r="S527" s="54"/>
      <c r="T527" s="48"/>
      <c r="V527" s="34"/>
      <c r="Z527" s="50"/>
      <c r="AA527" s="34"/>
      <c r="AC527" s="51"/>
      <c r="AD527" s="51"/>
      <c r="AE527" s="33"/>
    </row>
    <row r="528" spans="5:31" x14ac:dyDescent="0.2">
      <c r="E528" s="47"/>
      <c r="I528" s="52"/>
      <c r="J528" s="33"/>
      <c r="S528" s="54"/>
      <c r="T528" s="48"/>
      <c r="V528" s="34"/>
      <c r="Z528" s="50"/>
      <c r="AA528" s="34"/>
      <c r="AC528" s="51"/>
      <c r="AD528" s="51"/>
      <c r="AE528" s="33"/>
    </row>
    <row r="529" spans="5:31" x14ac:dyDescent="0.2">
      <c r="E529" s="47"/>
      <c r="I529" s="52"/>
      <c r="J529" s="33"/>
      <c r="S529" s="54"/>
      <c r="T529" s="48"/>
      <c r="V529" s="34"/>
      <c r="Z529" s="50"/>
      <c r="AA529" s="34"/>
      <c r="AC529" s="51"/>
      <c r="AD529" s="51"/>
      <c r="AE529" s="33"/>
    </row>
    <row r="530" spans="5:31" x14ac:dyDescent="0.2">
      <c r="E530" s="47"/>
      <c r="I530" s="52"/>
      <c r="J530" s="33"/>
      <c r="S530" s="54"/>
      <c r="T530" s="48"/>
      <c r="V530" s="34"/>
      <c r="Z530" s="50"/>
      <c r="AA530" s="34"/>
      <c r="AC530" s="51"/>
      <c r="AD530" s="51"/>
      <c r="AE530" s="33"/>
    </row>
    <row r="531" spans="5:31" x14ac:dyDescent="0.2">
      <c r="E531" s="47"/>
      <c r="I531" s="52"/>
      <c r="J531" s="33"/>
      <c r="S531" s="54"/>
      <c r="T531" s="48"/>
      <c r="V531" s="34"/>
      <c r="Z531" s="50"/>
      <c r="AA531" s="34"/>
      <c r="AC531" s="51"/>
      <c r="AD531" s="51"/>
      <c r="AE531" s="33"/>
    </row>
    <row r="532" spans="5:31" x14ac:dyDescent="0.2">
      <c r="E532" s="47"/>
      <c r="I532" s="52"/>
      <c r="J532" s="33"/>
      <c r="S532" s="54"/>
      <c r="T532" s="48"/>
      <c r="V532" s="34"/>
      <c r="Z532" s="50"/>
      <c r="AA532" s="34"/>
      <c r="AC532" s="51"/>
      <c r="AD532" s="51"/>
      <c r="AE532" s="33"/>
    </row>
    <row r="533" spans="5:31" x14ac:dyDescent="0.2">
      <c r="E533" s="47"/>
      <c r="I533" s="52"/>
      <c r="J533" s="33"/>
      <c r="S533" s="54"/>
      <c r="T533" s="48"/>
      <c r="V533" s="34"/>
      <c r="Z533" s="50"/>
      <c r="AA533" s="34"/>
      <c r="AC533" s="51"/>
      <c r="AD533" s="51"/>
      <c r="AE533" s="33"/>
    </row>
    <row r="534" spans="5:31" x14ac:dyDescent="0.2">
      <c r="E534" s="47"/>
      <c r="I534" s="52"/>
      <c r="J534" s="33"/>
      <c r="S534" s="54"/>
      <c r="T534" s="48"/>
      <c r="V534" s="34"/>
      <c r="Z534" s="50"/>
      <c r="AA534" s="34"/>
      <c r="AC534" s="51"/>
      <c r="AD534" s="51"/>
      <c r="AE534" s="33"/>
    </row>
    <row r="535" spans="5:31" x14ac:dyDescent="0.2">
      <c r="E535" s="47"/>
      <c r="I535" s="52"/>
      <c r="J535" s="33"/>
      <c r="S535" s="54"/>
      <c r="T535" s="48"/>
      <c r="V535" s="34"/>
      <c r="Z535" s="50"/>
      <c r="AA535" s="34"/>
      <c r="AC535" s="51"/>
      <c r="AD535" s="51"/>
      <c r="AE535" s="33"/>
    </row>
    <row r="536" spans="5:31" x14ac:dyDescent="0.2">
      <c r="E536" s="47"/>
      <c r="I536" s="52"/>
      <c r="J536" s="33"/>
      <c r="S536" s="54"/>
      <c r="T536" s="48"/>
      <c r="V536" s="34"/>
      <c r="Z536" s="50"/>
      <c r="AA536" s="34"/>
      <c r="AC536" s="51"/>
      <c r="AD536" s="51"/>
      <c r="AE536" s="33"/>
    </row>
    <row r="537" spans="5:31" x14ac:dyDescent="0.2">
      <c r="E537" s="47"/>
      <c r="I537" s="52"/>
      <c r="J537" s="33"/>
      <c r="S537" s="54"/>
      <c r="T537" s="48"/>
      <c r="V537" s="34"/>
      <c r="Z537" s="50"/>
      <c r="AA537" s="34"/>
      <c r="AC537" s="51"/>
      <c r="AD537" s="51"/>
      <c r="AE537" s="33"/>
    </row>
    <row r="538" spans="5:31" x14ac:dyDescent="0.2">
      <c r="E538" s="47"/>
      <c r="I538" s="52"/>
      <c r="J538" s="33"/>
      <c r="S538" s="54"/>
      <c r="T538" s="48"/>
      <c r="V538" s="34"/>
      <c r="Z538" s="50"/>
      <c r="AA538" s="34"/>
      <c r="AC538" s="51"/>
      <c r="AD538" s="51"/>
      <c r="AE538" s="33"/>
    </row>
    <row r="539" spans="5:31" x14ac:dyDescent="0.2">
      <c r="E539" s="47"/>
      <c r="I539" s="52"/>
      <c r="J539" s="33"/>
      <c r="S539" s="54"/>
      <c r="T539" s="48"/>
      <c r="V539" s="34"/>
      <c r="Z539" s="50"/>
      <c r="AA539" s="34"/>
      <c r="AC539" s="51"/>
      <c r="AD539" s="51"/>
      <c r="AE539" s="33"/>
    </row>
    <row r="540" spans="5:31" x14ac:dyDescent="0.2">
      <c r="E540" s="47"/>
      <c r="I540" s="52"/>
      <c r="J540" s="33"/>
      <c r="S540" s="54"/>
      <c r="T540" s="48"/>
      <c r="V540" s="34"/>
      <c r="Z540" s="50"/>
      <c r="AA540" s="34"/>
      <c r="AC540" s="51"/>
      <c r="AD540" s="51"/>
      <c r="AE540" s="33"/>
    </row>
    <row r="541" spans="5:31" x14ac:dyDescent="0.2">
      <c r="E541" s="47"/>
      <c r="I541" s="52"/>
      <c r="J541" s="33"/>
      <c r="S541" s="54"/>
      <c r="T541" s="48"/>
      <c r="V541" s="34"/>
      <c r="Z541" s="50"/>
      <c r="AA541" s="34"/>
      <c r="AC541" s="51"/>
      <c r="AD541" s="51"/>
      <c r="AE541" s="33"/>
    </row>
    <row r="542" spans="5:31" x14ac:dyDescent="0.2">
      <c r="E542" s="47"/>
      <c r="I542" s="52"/>
      <c r="J542" s="33"/>
      <c r="S542" s="54"/>
      <c r="T542" s="48"/>
      <c r="V542" s="34"/>
      <c r="Z542" s="50"/>
      <c r="AA542" s="34"/>
      <c r="AC542" s="51"/>
      <c r="AD542" s="51"/>
      <c r="AE542" s="33"/>
    </row>
    <row r="543" spans="5:31" x14ac:dyDescent="0.2">
      <c r="E543" s="47"/>
      <c r="I543" s="52"/>
      <c r="J543" s="33"/>
      <c r="S543" s="54"/>
      <c r="T543" s="48"/>
      <c r="V543" s="34"/>
      <c r="Z543" s="50"/>
      <c r="AA543" s="34"/>
      <c r="AC543" s="51"/>
      <c r="AD543" s="51"/>
      <c r="AE543" s="33"/>
    </row>
    <row r="544" spans="5:31" x14ac:dyDescent="0.2">
      <c r="E544" s="47"/>
      <c r="I544" s="52"/>
      <c r="J544" s="33"/>
      <c r="S544" s="54"/>
      <c r="T544" s="48"/>
      <c r="V544" s="34"/>
      <c r="Z544" s="50"/>
      <c r="AA544" s="34"/>
      <c r="AC544" s="51"/>
      <c r="AD544" s="51"/>
      <c r="AE544" s="33"/>
    </row>
    <row r="545" spans="5:31" x14ac:dyDescent="0.2">
      <c r="E545" s="47"/>
      <c r="I545" s="52"/>
      <c r="J545" s="33"/>
      <c r="S545" s="54"/>
      <c r="T545" s="48"/>
      <c r="V545" s="34"/>
      <c r="Z545" s="50"/>
      <c r="AA545" s="34"/>
      <c r="AC545" s="51"/>
      <c r="AD545" s="51"/>
      <c r="AE545" s="33"/>
    </row>
    <row r="546" spans="5:31" x14ac:dyDescent="0.2">
      <c r="E546" s="47"/>
      <c r="I546" s="52"/>
      <c r="J546" s="33"/>
      <c r="S546" s="54"/>
      <c r="T546" s="48"/>
      <c r="V546" s="34"/>
      <c r="Z546" s="50"/>
      <c r="AA546" s="34"/>
      <c r="AC546" s="51"/>
      <c r="AD546" s="51"/>
      <c r="AE546" s="33"/>
    </row>
    <row r="547" spans="5:31" x14ac:dyDescent="0.2">
      <c r="E547" s="47"/>
      <c r="I547" s="52"/>
      <c r="J547" s="33"/>
      <c r="S547" s="54"/>
      <c r="T547" s="48"/>
      <c r="V547" s="34"/>
      <c r="Z547" s="50"/>
      <c r="AA547" s="34"/>
      <c r="AC547" s="51"/>
      <c r="AD547" s="51"/>
      <c r="AE547" s="33"/>
    </row>
    <row r="548" spans="5:31" x14ac:dyDescent="0.2">
      <c r="E548" s="47"/>
      <c r="I548" s="52"/>
      <c r="J548" s="33"/>
      <c r="S548" s="54"/>
      <c r="T548" s="48"/>
      <c r="V548" s="34"/>
      <c r="Z548" s="50"/>
      <c r="AA548" s="34"/>
      <c r="AC548" s="51"/>
      <c r="AD548" s="51"/>
      <c r="AE548" s="33"/>
    </row>
    <row r="549" spans="5:31" x14ac:dyDescent="0.2">
      <c r="E549" s="47"/>
      <c r="I549" s="52"/>
      <c r="J549" s="33"/>
      <c r="S549" s="54"/>
      <c r="T549" s="48"/>
      <c r="V549" s="34"/>
      <c r="Z549" s="50"/>
      <c r="AA549" s="34"/>
      <c r="AC549" s="51"/>
      <c r="AD549" s="51"/>
      <c r="AE549" s="33"/>
    </row>
    <row r="550" spans="5:31" x14ac:dyDescent="0.2">
      <c r="E550" s="47"/>
      <c r="I550" s="52"/>
      <c r="J550" s="33"/>
      <c r="S550" s="54"/>
      <c r="T550" s="48"/>
      <c r="V550" s="34"/>
      <c r="Z550" s="50"/>
      <c r="AA550" s="34"/>
      <c r="AC550" s="51"/>
      <c r="AD550" s="51"/>
      <c r="AE550" s="33"/>
    </row>
    <row r="551" spans="5:31" x14ac:dyDescent="0.2">
      <c r="E551" s="47"/>
      <c r="I551" s="52"/>
      <c r="J551" s="33"/>
      <c r="S551" s="54"/>
      <c r="T551" s="48"/>
      <c r="V551" s="34"/>
      <c r="Z551" s="50"/>
      <c r="AA551" s="34"/>
      <c r="AC551" s="51"/>
      <c r="AD551" s="51"/>
      <c r="AE551" s="33"/>
    </row>
    <row r="552" spans="5:31" x14ac:dyDescent="0.2">
      <c r="E552" s="47"/>
      <c r="I552" s="52"/>
      <c r="J552" s="33"/>
      <c r="S552" s="54"/>
      <c r="T552" s="48"/>
      <c r="V552" s="34"/>
      <c r="Z552" s="50"/>
      <c r="AA552" s="34"/>
      <c r="AC552" s="51"/>
      <c r="AD552" s="51"/>
      <c r="AE552" s="33"/>
    </row>
    <row r="553" spans="5:31" x14ac:dyDescent="0.2">
      <c r="E553" s="47"/>
      <c r="I553" s="52"/>
      <c r="J553" s="33"/>
      <c r="S553" s="54"/>
      <c r="T553" s="48"/>
      <c r="V553" s="34"/>
      <c r="Z553" s="50"/>
      <c r="AA553" s="34"/>
      <c r="AC553" s="51"/>
      <c r="AD553" s="51"/>
      <c r="AE553" s="33"/>
    </row>
    <row r="554" spans="5:31" x14ac:dyDescent="0.2">
      <c r="E554" s="47"/>
      <c r="I554" s="52"/>
      <c r="J554" s="33"/>
      <c r="S554" s="54"/>
      <c r="T554" s="48"/>
      <c r="V554" s="34"/>
      <c r="Z554" s="50"/>
      <c r="AA554" s="34"/>
      <c r="AC554" s="51"/>
      <c r="AD554" s="51"/>
      <c r="AE554" s="33"/>
    </row>
    <row r="555" spans="5:31" x14ac:dyDescent="0.2">
      <c r="E555" s="47"/>
      <c r="I555" s="52"/>
      <c r="J555" s="33"/>
      <c r="S555" s="54"/>
      <c r="T555" s="48"/>
      <c r="V555" s="34"/>
      <c r="Z555" s="50"/>
      <c r="AA555" s="34"/>
      <c r="AC555" s="51"/>
      <c r="AD555" s="51"/>
      <c r="AE555" s="33"/>
    </row>
    <row r="556" spans="5:31" x14ac:dyDescent="0.2">
      <c r="E556" s="47"/>
      <c r="I556" s="52"/>
      <c r="J556" s="33"/>
      <c r="S556" s="54"/>
      <c r="T556" s="48"/>
      <c r="V556" s="34"/>
      <c r="Z556" s="50"/>
      <c r="AA556" s="34"/>
      <c r="AC556" s="51"/>
      <c r="AD556" s="51"/>
      <c r="AE556" s="33"/>
    </row>
    <row r="557" spans="5:31" x14ac:dyDescent="0.2">
      <c r="E557" s="47"/>
      <c r="I557" s="52"/>
      <c r="J557" s="33"/>
      <c r="S557" s="54"/>
      <c r="T557" s="48"/>
      <c r="V557" s="34"/>
      <c r="Z557" s="50"/>
      <c r="AA557" s="34"/>
      <c r="AC557" s="51"/>
      <c r="AD557" s="51"/>
      <c r="AE557" s="33"/>
    </row>
    <row r="558" spans="5:31" x14ac:dyDescent="0.2">
      <c r="E558" s="47"/>
      <c r="I558" s="52"/>
      <c r="J558" s="33"/>
      <c r="S558" s="54"/>
      <c r="T558" s="48"/>
      <c r="V558" s="34"/>
      <c r="Z558" s="50"/>
      <c r="AA558" s="34"/>
      <c r="AC558" s="51"/>
      <c r="AD558" s="51"/>
      <c r="AE558" s="33"/>
    </row>
    <row r="559" spans="5:31" x14ac:dyDescent="0.2">
      <c r="E559" s="47"/>
      <c r="I559" s="52"/>
      <c r="J559" s="33"/>
      <c r="S559" s="54"/>
      <c r="T559" s="48"/>
      <c r="V559" s="34"/>
      <c r="Z559" s="50"/>
      <c r="AA559" s="34"/>
      <c r="AC559" s="51"/>
      <c r="AD559" s="51"/>
      <c r="AE559" s="33"/>
    </row>
    <row r="560" spans="5:31" x14ac:dyDescent="0.2">
      <c r="E560" s="47"/>
      <c r="I560" s="52"/>
      <c r="J560" s="33"/>
      <c r="S560" s="54"/>
      <c r="T560" s="48"/>
      <c r="V560" s="34"/>
      <c r="Z560" s="50"/>
      <c r="AA560" s="34"/>
      <c r="AC560" s="51"/>
      <c r="AD560" s="51"/>
      <c r="AE560" s="33"/>
    </row>
    <row r="561" spans="5:31" x14ac:dyDescent="0.2">
      <c r="E561" s="47"/>
      <c r="I561" s="52"/>
      <c r="J561" s="33"/>
      <c r="S561" s="54"/>
      <c r="T561" s="48"/>
      <c r="V561" s="34"/>
      <c r="Z561" s="50"/>
      <c r="AA561" s="34"/>
      <c r="AC561" s="51"/>
      <c r="AD561" s="51"/>
      <c r="AE561" s="33"/>
    </row>
    <row r="562" spans="5:31" x14ac:dyDescent="0.2">
      <c r="E562" s="47"/>
      <c r="I562" s="52"/>
      <c r="J562" s="33"/>
      <c r="S562" s="54"/>
      <c r="T562" s="48"/>
      <c r="V562" s="34"/>
      <c r="Z562" s="50"/>
      <c r="AA562" s="34"/>
      <c r="AC562" s="51"/>
      <c r="AD562" s="51"/>
      <c r="AE562" s="33"/>
    </row>
    <row r="563" spans="5:31" x14ac:dyDescent="0.2">
      <c r="E563" s="47"/>
      <c r="I563" s="52"/>
      <c r="J563" s="33"/>
      <c r="S563" s="54"/>
      <c r="T563" s="48"/>
      <c r="V563" s="34"/>
      <c r="Z563" s="50"/>
      <c r="AA563" s="34"/>
      <c r="AC563" s="51"/>
      <c r="AD563" s="51"/>
      <c r="AE563" s="33"/>
    </row>
    <row r="564" spans="5:31" x14ac:dyDescent="0.2">
      <c r="E564" s="47"/>
      <c r="I564" s="52"/>
      <c r="J564" s="33"/>
      <c r="S564" s="54"/>
      <c r="T564" s="48"/>
      <c r="V564" s="34"/>
      <c r="Z564" s="50"/>
      <c r="AA564" s="34"/>
      <c r="AC564" s="51"/>
      <c r="AD564" s="51"/>
      <c r="AE564" s="33"/>
    </row>
    <row r="565" spans="5:31" x14ac:dyDescent="0.2">
      <c r="E565" s="47"/>
      <c r="I565" s="52"/>
      <c r="J565" s="33"/>
      <c r="S565" s="54"/>
      <c r="T565" s="48"/>
      <c r="V565" s="34"/>
      <c r="Z565" s="50"/>
      <c r="AA565" s="34"/>
      <c r="AC565" s="51"/>
      <c r="AD565" s="51"/>
      <c r="AE565" s="33"/>
    </row>
    <row r="566" spans="5:31" x14ac:dyDescent="0.2">
      <c r="E566" s="47"/>
      <c r="I566" s="52"/>
      <c r="J566" s="33"/>
      <c r="S566" s="54"/>
      <c r="T566" s="48"/>
      <c r="V566" s="34"/>
      <c r="Z566" s="50"/>
      <c r="AA566" s="34"/>
      <c r="AC566" s="51"/>
      <c r="AD566" s="51"/>
      <c r="AE566" s="33"/>
    </row>
    <row r="567" spans="5:31" x14ac:dyDescent="0.2">
      <c r="E567" s="47"/>
      <c r="I567" s="52"/>
      <c r="J567" s="33"/>
      <c r="S567" s="54"/>
      <c r="T567" s="48"/>
      <c r="V567" s="34"/>
      <c r="Z567" s="50"/>
      <c r="AA567" s="34"/>
      <c r="AC567" s="51"/>
      <c r="AD567" s="51"/>
      <c r="AE567" s="33"/>
    </row>
    <row r="568" spans="5:31" x14ac:dyDescent="0.2">
      <c r="E568" s="47"/>
      <c r="I568" s="52"/>
      <c r="J568" s="33"/>
      <c r="S568" s="54"/>
      <c r="T568" s="48"/>
      <c r="V568" s="34"/>
      <c r="Z568" s="50"/>
      <c r="AA568" s="34"/>
      <c r="AC568" s="51"/>
      <c r="AD568" s="51"/>
      <c r="AE568" s="33"/>
    </row>
    <row r="569" spans="5:31" x14ac:dyDescent="0.2">
      <c r="E569" s="47"/>
      <c r="I569" s="52"/>
      <c r="J569" s="33"/>
      <c r="S569" s="54"/>
      <c r="T569" s="48"/>
      <c r="V569" s="34"/>
      <c r="Z569" s="50"/>
      <c r="AA569" s="34"/>
      <c r="AC569" s="51"/>
      <c r="AD569" s="51"/>
      <c r="AE569" s="33"/>
    </row>
    <row r="570" spans="5:31" x14ac:dyDescent="0.2">
      <c r="E570" s="47"/>
      <c r="I570" s="52"/>
      <c r="J570" s="33"/>
      <c r="S570" s="54"/>
      <c r="T570" s="48"/>
      <c r="V570" s="34"/>
      <c r="Z570" s="50"/>
      <c r="AA570" s="34"/>
      <c r="AC570" s="51"/>
      <c r="AD570" s="51"/>
      <c r="AE570" s="33"/>
    </row>
    <row r="571" spans="5:31" x14ac:dyDescent="0.2">
      <c r="E571" s="47"/>
      <c r="I571" s="52"/>
      <c r="J571" s="33"/>
      <c r="S571" s="54"/>
      <c r="T571" s="48"/>
      <c r="V571" s="34"/>
      <c r="Z571" s="50"/>
      <c r="AA571" s="34"/>
      <c r="AC571" s="51"/>
      <c r="AD571" s="51"/>
      <c r="AE571" s="33"/>
    </row>
    <row r="572" spans="5:31" x14ac:dyDescent="0.2">
      <c r="E572" s="47"/>
      <c r="I572" s="52"/>
      <c r="J572" s="33"/>
      <c r="S572" s="54"/>
      <c r="T572" s="48"/>
      <c r="V572" s="34"/>
      <c r="Z572" s="50"/>
      <c r="AA572" s="34"/>
      <c r="AC572" s="51"/>
      <c r="AD572" s="51"/>
      <c r="AE572" s="33"/>
    </row>
    <row r="573" spans="5:31" x14ac:dyDescent="0.2">
      <c r="E573" s="47"/>
      <c r="I573" s="52"/>
      <c r="J573" s="33"/>
      <c r="S573" s="54"/>
      <c r="T573" s="48"/>
      <c r="V573" s="34"/>
      <c r="Z573" s="50"/>
      <c r="AA573" s="34"/>
      <c r="AC573" s="51"/>
      <c r="AD573" s="51"/>
      <c r="AE573" s="33"/>
    </row>
    <row r="574" spans="5:31" x14ac:dyDescent="0.2">
      <c r="E574" s="47"/>
      <c r="I574" s="52"/>
      <c r="J574" s="33"/>
      <c r="S574" s="54"/>
      <c r="T574" s="48"/>
      <c r="V574" s="34"/>
      <c r="Z574" s="50"/>
      <c r="AA574" s="34"/>
      <c r="AC574" s="51"/>
      <c r="AD574" s="51"/>
      <c r="AE574" s="33"/>
    </row>
    <row r="575" spans="5:31" x14ac:dyDescent="0.2">
      <c r="E575" s="47"/>
      <c r="I575" s="52"/>
      <c r="J575" s="33"/>
      <c r="S575" s="54"/>
      <c r="T575" s="48"/>
      <c r="V575" s="34"/>
      <c r="Z575" s="50"/>
      <c r="AA575" s="34"/>
      <c r="AC575" s="51"/>
      <c r="AD575" s="51"/>
      <c r="AE575" s="33"/>
    </row>
    <row r="576" spans="5:31" x14ac:dyDescent="0.2">
      <c r="E576" s="47"/>
      <c r="I576" s="52"/>
      <c r="J576" s="33"/>
      <c r="S576" s="54"/>
      <c r="T576" s="48"/>
      <c r="V576" s="34"/>
      <c r="Z576" s="50"/>
      <c r="AA576" s="34"/>
      <c r="AC576" s="51"/>
      <c r="AD576" s="51"/>
      <c r="AE576" s="33"/>
    </row>
    <row r="577" spans="5:31" x14ac:dyDescent="0.2">
      <c r="E577" s="47"/>
      <c r="I577" s="52"/>
      <c r="J577" s="33"/>
      <c r="S577" s="54"/>
      <c r="T577" s="48"/>
      <c r="V577" s="34"/>
      <c r="Z577" s="50"/>
      <c r="AA577" s="34"/>
      <c r="AC577" s="51"/>
      <c r="AD577" s="51"/>
      <c r="AE577" s="33"/>
    </row>
    <row r="578" spans="5:31" x14ac:dyDescent="0.2">
      <c r="E578" s="47"/>
      <c r="I578" s="52"/>
      <c r="J578" s="33"/>
      <c r="S578" s="54"/>
      <c r="T578" s="48"/>
      <c r="V578" s="34"/>
      <c r="Z578" s="50"/>
      <c r="AA578" s="34"/>
      <c r="AC578" s="51"/>
      <c r="AD578" s="51"/>
      <c r="AE578" s="33"/>
    </row>
    <row r="579" spans="5:31" x14ac:dyDescent="0.2">
      <c r="E579" s="47"/>
      <c r="I579" s="52"/>
      <c r="J579" s="33"/>
      <c r="S579" s="54"/>
      <c r="T579" s="48"/>
      <c r="V579" s="34"/>
      <c r="Z579" s="50"/>
      <c r="AA579" s="34"/>
      <c r="AC579" s="51"/>
      <c r="AD579" s="51"/>
      <c r="AE579" s="33"/>
    </row>
    <row r="580" spans="5:31" x14ac:dyDescent="0.2">
      <c r="E580" s="47"/>
      <c r="I580" s="52"/>
      <c r="J580" s="33"/>
      <c r="S580" s="54"/>
      <c r="T580" s="48"/>
      <c r="V580" s="34"/>
      <c r="Z580" s="50"/>
      <c r="AA580" s="34"/>
      <c r="AC580" s="51"/>
      <c r="AD580" s="51"/>
      <c r="AE580" s="33"/>
    </row>
    <row r="581" spans="5:31" x14ac:dyDescent="0.2">
      <c r="E581" s="47"/>
      <c r="I581" s="52"/>
      <c r="J581" s="33"/>
      <c r="S581" s="54"/>
      <c r="T581" s="48"/>
      <c r="V581" s="34"/>
      <c r="Z581" s="50"/>
      <c r="AA581" s="34"/>
      <c r="AC581" s="51"/>
      <c r="AD581" s="51"/>
      <c r="AE581" s="33"/>
    </row>
    <row r="582" spans="5:31" x14ac:dyDescent="0.2">
      <c r="E582" s="47"/>
      <c r="I582" s="52"/>
      <c r="J582" s="33"/>
      <c r="S582" s="54"/>
      <c r="T582" s="48"/>
      <c r="V582" s="34"/>
      <c r="Z582" s="50"/>
      <c r="AA582" s="34"/>
      <c r="AC582" s="51"/>
      <c r="AD582" s="51"/>
      <c r="AE582" s="33"/>
    </row>
  </sheetData>
  <sheetProtection formatCells="0" formatColumns="0" formatRows="0" insertColumns="0" insertRows="0" insertHyperlinks="0" deleteColumns="0" deleteRows="0" sort="0" autoFilter="0" pivotTables="0"/>
  <protectedRanges>
    <protectedRange algorithmName="SHA-512" hashValue="yfbEcbuX6gHQoB7EQ48cwom+Cmal6oPm0eMeYSZcRfb8qftHqgnS6oW3atIBgCME6enLcaNTG6/lJR6eJ6nN+g==" saltValue="b1C/U3Yril1Q5doTS3zQGA==" spinCount="100000" sqref="W1:AE7 V461:AD7341 W7342:AE1048575" name="DS Protect"/>
    <protectedRange algorithmName="SHA-512" hashValue="yfbEcbuX6gHQoB7EQ48cwom+Cmal6oPm0eMeYSZcRfb8qftHqgnS6oW3atIBgCME6enLcaNTG6/lJR6eJ6nN+g==" saltValue="b1C/U3Yril1Q5doTS3zQGA==" spinCount="100000" sqref="V1:V7 V7342:V1048575" name="DS Protect_2"/>
  </protectedRanges>
  <autoFilter ref="B7:AE582" xr:uid="{00000000-0001-0000-0100-000000000000}"/>
  <mergeCells count="6">
    <mergeCell ref="A6:U6"/>
    <mergeCell ref="I1:M1"/>
    <mergeCell ref="I2:M2"/>
    <mergeCell ref="I3:M3"/>
    <mergeCell ref="I4:M4"/>
    <mergeCell ref="A5:U5"/>
  </mergeCells>
  <conditionalFormatting sqref="Q1:Q7 Q461:Q1048576">
    <cfRule type="cellIs" dxfId="12" priority="11" operator="greaterThan">
      <formula>0</formula>
    </cfRule>
    <cfRule type="cellIs" dxfId="11" priority="12" operator="greaterThan">
      <formula>0</formula>
    </cfRule>
    <cfRule type="cellIs" dxfId="10" priority="13" operator="greaterThan">
      <formula>1</formula>
    </cfRule>
  </conditionalFormatting>
  <conditionalFormatting sqref="Q1:Q1048576">
    <cfRule type="cellIs" dxfId="9" priority="7" operator="greaterThan">
      <formula>0</formula>
    </cfRule>
  </conditionalFormatting>
  <conditionalFormatting sqref="R1:R4 R7 R461:R1048576">
    <cfRule type="cellIs" dxfId="8" priority="24" operator="greaterThan">
      <formula>0</formula>
    </cfRule>
  </conditionalFormatting>
  <conditionalFormatting sqref="R1:R7 R461:R1048576">
    <cfRule type="cellIs" dxfId="7" priority="9" operator="greaterThan">
      <formula>0</formula>
    </cfRule>
    <cfRule type="cellIs" dxfId="6" priority="10" operator="greaterThan">
      <formula>0</formula>
    </cfRule>
  </conditionalFormatting>
  <conditionalFormatting sqref="R1:R1048576">
    <cfRule type="cellIs" dxfId="5" priority="6" operator="greaterThan">
      <formula>0</formula>
    </cfRule>
  </conditionalFormatting>
  <conditionalFormatting sqref="T461:T582">
    <cfRule type="containsText" dxfId="4" priority="16" operator="containsText" text="Cancle Product(s)">
      <formula>NOT(ISERROR(SEARCH("Cancle Product(s)",T461)))</formula>
    </cfRule>
  </conditionalFormatting>
  <conditionalFormatting sqref="U1:U1048576">
    <cfRule type="cellIs" dxfId="3" priority="1" operator="equal">
      <formula>"Ship Product(s) ASAP"</formula>
    </cfRule>
    <cfRule type="cellIs" dxfId="2" priority="2" operator="equal">
      <formula>"Keep Open - B/O"</formula>
    </cfRule>
    <cfRule type="cellIs" dxfId="1" priority="3" operator="equal">
      <formula>"Ship on Requested Ship Date"</formula>
    </cfRule>
    <cfRule type="cellIs" dxfId="0" priority="5" operator="equal">
      <formula>"Cancel Product(s)"</formula>
    </cfRule>
  </conditionalFormatting>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57B8CDD8-DDB9-4A34-8B82-32B851FA4130}">
          <x14:formula1>
            <xm:f>'DATA VALADIATION'!$A$1:$A$4</xm:f>
          </x14:formula1>
          <xm:sqref>U8:U499</xm:sqref>
        </x14:dataValidation>
      </x14:dataValidations>
    </ext>
    <ext xmlns:x15="http://schemas.microsoft.com/office/spreadsheetml/2010/11/main" uri="{F7C9EE02-42E1-4005-9D12-6889AFFD525C}">
      <x15:webExtensions xmlns:xm="http://schemas.microsoft.com/office/excel/2006/main">
        <x15:webExtension appRef="{82007779-50DA-4B50-ABB2-A070096567FB}">
          <xm:f>Table2[#All]</xm:f>
        </x15:webExtension>
      </x15:webExtens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
  <sheetViews>
    <sheetView workbookViewId="0">
      <selection activeCell="B3" sqref="B3"/>
    </sheetView>
  </sheetViews>
  <sheetFormatPr defaultRowHeight="11.25" customHeight="1" x14ac:dyDescent="0.2"/>
  <cols>
    <col min="1" max="1" width="11.28515625" bestFit="1" customWidth="1"/>
    <col min="2" max="2" width="10.28515625" style="12" bestFit="1" customWidth="1"/>
    <col min="3" max="3" width="7.42578125" style="5" bestFit="1" customWidth="1"/>
    <col min="4" max="4" width="6.140625" style="6" bestFit="1" customWidth="1"/>
    <col min="5" max="5" width="14.42578125" bestFit="1" customWidth="1"/>
    <col min="6" max="6" width="14.7109375" style="5" bestFit="1" customWidth="1"/>
    <col min="7" max="7" width="20.7109375" bestFit="1" customWidth="1"/>
    <col min="8" max="8" width="18.140625" bestFit="1" customWidth="1"/>
    <col min="9" max="9" width="19.28515625" bestFit="1" customWidth="1"/>
    <col min="10" max="10" width="30.28515625" style="7" bestFit="1" customWidth="1"/>
    <col min="11" max="11" width="13.28515625" style="7" bestFit="1" customWidth="1"/>
    <col min="12" max="12" width="19.28515625" style="7" bestFit="1" customWidth="1"/>
    <col min="13" max="13" width="13" style="7" bestFit="1" customWidth="1"/>
    <col min="14" max="14" width="18.7109375" bestFit="1" customWidth="1"/>
    <col min="15" max="15" width="9.42578125" style="5" bestFit="1" customWidth="1"/>
    <col min="16" max="16" width="11" bestFit="1" customWidth="1"/>
    <col min="17" max="17" width="19.140625" bestFit="1" customWidth="1"/>
    <col min="18" max="18" width="17.140625" bestFit="1" customWidth="1"/>
    <col min="19" max="19" width="18" bestFit="1" customWidth="1"/>
    <col min="20" max="20" width="30.85546875" bestFit="1" customWidth="1"/>
    <col min="21" max="21" width="9.7109375" bestFit="1" customWidth="1"/>
    <col min="22" max="22" width="11.85546875" bestFit="1" customWidth="1"/>
    <col min="23" max="23" width="9.42578125" bestFit="1" customWidth="1"/>
  </cols>
  <sheetData>
    <row r="1" spans="1:15" s="8" customFormat="1" ht="11.25" customHeight="1" x14ac:dyDescent="0.2">
      <c r="A1" s="10" t="str">
        <f>"celigo &gt;&gt;"&amp;T(N("??SalesOrder.NetSuite.9AF836"))</f>
        <v>celigo &gt;&gt;</v>
      </c>
      <c r="B1" s="8" t="str">
        <f xml:space="preserve"> T(N("SalesOrder.internalId"))</f>
        <v/>
      </c>
      <c r="C1" s="8" t="str">
        <f xml:space="preserve"> T(N("SalesOrder.tranId"))</f>
        <v/>
      </c>
      <c r="D1" s="9" t="str">
        <f xml:space="preserve"> T(N("SalesOrder.entity"&amp;4))</f>
        <v/>
      </c>
      <c r="E1" s="8" t="str">
        <f xml:space="preserve"> T(N("SalesOrder.itemList.item.line"))</f>
        <v/>
      </c>
      <c r="F1" s="8" t="str">
        <f xml:space="preserve"> T(N("SalesOrder.itemList.item.custcol_ava_item"))</f>
        <v/>
      </c>
      <c r="G1" s="8" t="str">
        <f xml:space="preserve"> T(N("SalesOrder.itemList.replaceAll"))</f>
        <v/>
      </c>
      <c r="H1" s="8" t="str">
        <f xml:space="preserve"> T(N("SalesOrder.itemList.item.quantity"))</f>
        <v/>
      </c>
      <c r="I1" s="8" t="str">
        <f xml:space="preserve"> T(N("SalesOrder.itemList.item.isClosed"))</f>
        <v/>
      </c>
      <c r="J1" s="8" t="str">
        <f xml:space="preserve"> T(N("SalesOrder.itemList.item.custcol_sps_itemscheduledate1"))</f>
        <v/>
      </c>
      <c r="K1" s="8" t="str">
        <f xml:space="preserve"> T(N("SalesOrder.custbody_next_backorder_eta"))</f>
        <v/>
      </c>
      <c r="L1" s="8" t="str">
        <f xml:space="preserve"> T(N("SalesOrder.custbody_revisionsrecd"))</f>
        <v/>
      </c>
      <c r="M1" s="8" t="str">
        <f xml:space="preserve"> T(N("SalesOrder.custbody_reviseddate"))</f>
        <v/>
      </c>
      <c r="N1" s="8" t="str">
        <f xml:space="preserve"> T(N("SalesOrder.custbody_shipasreqd"))</f>
        <v/>
      </c>
      <c r="O1" s="8" t="str">
        <f xml:space="preserve"> T(N("SalesOrder.custbody_salesordernotes"))</f>
        <v/>
      </c>
    </row>
    <row r="2" spans="1:15" ht="11.25" customHeight="1" x14ac:dyDescent="0.2">
      <c r="A2" s="5" t="s">
        <v>18</v>
      </c>
      <c r="B2" s="5" t="s">
        <v>19</v>
      </c>
      <c r="C2" s="5" t="s">
        <v>20</v>
      </c>
      <c r="D2" s="11" t="s">
        <v>21</v>
      </c>
      <c r="E2" t="s">
        <v>22</v>
      </c>
      <c r="F2" s="5" t="s">
        <v>23</v>
      </c>
      <c r="G2" t="s">
        <v>24</v>
      </c>
      <c r="H2" t="s">
        <v>25</v>
      </c>
      <c r="I2" t="s">
        <v>26</v>
      </c>
      <c r="J2" s="7" t="s">
        <v>29</v>
      </c>
      <c r="K2" s="7" t="s">
        <v>27</v>
      </c>
      <c r="L2" s="7" t="s">
        <v>42</v>
      </c>
      <c r="M2" s="7" t="s">
        <v>8</v>
      </c>
      <c r="N2" t="s">
        <v>28</v>
      </c>
      <c r="O2" s="5" t="s">
        <v>30</v>
      </c>
    </row>
  </sheetData>
  <sheetProtection formatCells="0" formatColumns="0" formatRows="0" insertColumns="0" insertRows="0" insertHyperlinks="0" deleteColumns="0" deleteRows="0" sort="0" autoFilter="0" pivotTables="0"/>
  <pageMargins left="0.7" right="0.7" top="0.75" bottom="0.75" header="0.3" footer="0.3"/>
  <tableParts count="1">
    <tablePart r:id="rId1"/>
  </tableParts>
  <extLst>
    <ext xmlns:x15="http://schemas.microsoft.com/office/spreadsheetml/2010/11/main" uri="{F7C9EE02-42E1-4005-9D12-6889AFFD525C}">
      <x15:webExtensions xmlns:xm="http://schemas.microsoft.com/office/excel/2006/main">
        <x15:webExtension appRef="{6BB44BE5-5294-42F5-B935-78126A50964C}">
          <xm:f>#REF!</xm:f>
        </x15:webExtension>
        <x15:webExtension appRef="{09B917BA-B262-4844-979E-22AD27C1E32C}">
          <xm:f>#REF!</xm:f>
        </x15:webExtension>
        <x15:webExtension appRef="{A588868D-EBE0-4D4D-AA7C-CDECAFE2C8C7}">
          <xm:f>#REF!</xm:f>
        </x15:webExtension>
        <x15:webExtension appRef="{7A3C3B44-4111-4D33-976F-822E6F0587F9}">
          <xm:f>#REF!</xm:f>
        </x15:webExtension>
        <x15:webExtension appRef="{15AE68F5-A5E0-4C19-ADBB-B39F12B17BBA}">
          <xm:f>#REF!</xm:f>
        </x15:webExtension>
        <x15:webExtension appRef="{82245BEF-0CE6-472D-B2E3-DC85B188B9DE}">
          <xm:f>#REF!</xm:f>
        </x15:webExtension>
        <x15:webExtension appRef="{4D48A1E7-874D-4AAE-8C4E-B345B3FE22EF}">
          <xm:f>#REF!</xm:f>
        </x15:webExtension>
        <x15:webExtension appRef="{649030CB-65B6-41CF-B50E-9930568FF42A}">
          <xm:f>Table2[#All]</xm:f>
        </x15:webExtension>
      </x15:webExtens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
  <sheetViews>
    <sheetView workbookViewId="0">
      <selection sqref="A1:A4"/>
    </sheetView>
  </sheetViews>
  <sheetFormatPr defaultRowHeight="10.199999999999999" x14ac:dyDescent="0.2"/>
  <cols>
    <col min="1" max="1" width="28.140625" bestFit="1" customWidth="1"/>
  </cols>
  <sheetData>
    <row r="1" spans="1:1" x14ac:dyDescent="0.2">
      <c r="A1" s="59" t="s">
        <v>55</v>
      </c>
    </row>
    <row r="2" spans="1:1" x14ac:dyDescent="0.2">
      <c r="A2" s="62" t="s">
        <v>62</v>
      </c>
    </row>
    <row r="3" spans="1:1" x14ac:dyDescent="0.2">
      <c r="A3" s="60" t="s">
        <v>56</v>
      </c>
    </row>
    <row r="4" spans="1:1" x14ac:dyDescent="0.2">
      <c r="A4" s="61"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 PIVOT</vt:lpstr>
      <vt:lpstr>REVISE HERE</vt:lpstr>
      <vt:lpstr>CE</vt:lpstr>
      <vt:lpstr>DATA VALADIATION</vt:lpstr>
    </vt:vector>
  </TitlesOfParts>
  <Company>NetSuite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NetSuite</dc:creator>
  <cp:lastModifiedBy>Jake Burgart</cp:lastModifiedBy>
  <dcterms:created xsi:type="dcterms:W3CDTF">2023-09-06T21:47:25Z</dcterms:created>
  <dcterms:modified xsi:type="dcterms:W3CDTF">2025-12-23T18:24:54Z</dcterms:modified>
</cp:coreProperties>
</file>